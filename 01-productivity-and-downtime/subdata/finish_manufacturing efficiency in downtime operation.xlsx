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hidePivotFieldList="1" defaultThemeVersion="166925"/>
  <mc:AlternateContent xmlns:mc="http://schemas.openxmlformats.org/markup-compatibility/2006">
    <mc:Choice Requires="x15">
      <x15ac:absPath xmlns:x15ac="http://schemas.microsoft.com/office/spreadsheetml/2010/11/ac" url="C:\Users\carak\Downloads\"/>
    </mc:Choice>
  </mc:AlternateContent>
  <xr:revisionPtr revIDLastSave="0" documentId="13_ncr:1_{9DFCDFC1-8F0A-48C7-93EF-5362082703FE}" xr6:coauthVersionLast="45" xr6:coauthVersionMax="45" xr10:uidLastSave="{00000000-0000-0000-0000-000000000000}"/>
  <bookViews>
    <workbookView xWindow="1515" yWindow="1515" windowWidth="18900" windowHeight="7605" xr2:uid="{A6FC7487-BBE3-4327-AA68-570FA4C2698C}"/>
  </bookViews>
  <sheets>
    <sheet name="Dashboard" sheetId="7" r:id="rId1"/>
    <sheet name="Data Structuring" sheetId="8" r:id="rId2"/>
    <sheet name="Line Productivity" sheetId="4" r:id="rId3"/>
    <sheet name="Line Downtime" sheetId="3" r:id="rId4"/>
    <sheet name="Downtime Factor" sheetId="2" r:id="rId5"/>
    <sheet name="Products" sheetId="6" r:id="rId6"/>
    <sheet name="Metadata" sheetId="5" r:id="rId7"/>
  </sheets>
  <definedNames>
    <definedName name="ExternalData_1" localSheetId="4" hidden="1">'Downtime Factor'!$A$1:$C$13</definedName>
    <definedName name="ExternalData_2" localSheetId="3" hidden="1">'Line Downtime'!$A$1:$M$41</definedName>
    <definedName name="ExternalData_3" localSheetId="1" hidden="1">'Data Structuring'!$A$6:$F$37</definedName>
    <definedName name="ExternalData_3" localSheetId="2" hidden="1">'Line Productivity'!$A$1:$F$32</definedName>
    <definedName name="ExternalData_4" localSheetId="6" hidden="1">Metadata!$A$1:$C$21</definedName>
    <definedName name="ExternalData_5" localSheetId="5" hidden="1">Products!$A$1:$D$6</definedName>
    <definedName name="Slicer_Operator">#N/A</definedName>
    <definedName name="Slicer_Produc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7" i="8" l="1"/>
  <c r="G8" i="8"/>
  <c r="G9" i="8"/>
  <c r="G10" i="8"/>
  <c r="G11" i="8"/>
  <c r="G12" i="8"/>
  <c r="G13" i="8"/>
  <c r="G14" i="8"/>
  <c r="T14" i="8" s="1"/>
  <c r="G15" i="8"/>
  <c r="G16" i="8"/>
  <c r="G17" i="8"/>
  <c r="G18" i="8"/>
  <c r="G19" i="8"/>
  <c r="G20" i="8"/>
  <c r="G21" i="8"/>
  <c r="G22" i="8"/>
  <c r="G23" i="8"/>
  <c r="G24" i="8"/>
  <c r="G25" i="8"/>
  <c r="G26" i="8"/>
  <c r="G27" i="8"/>
  <c r="G28" i="8"/>
  <c r="G29" i="8"/>
  <c r="G30" i="8"/>
  <c r="G31" i="8"/>
  <c r="G32" i="8"/>
  <c r="G33" i="8"/>
  <c r="G34" i="8"/>
  <c r="G35" i="8"/>
  <c r="G36" i="8"/>
  <c r="G37"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K7" i="8"/>
  <c r="K8" i="8"/>
  <c r="K9" i="8"/>
  <c r="K10" i="8"/>
  <c r="S10" i="8" s="1"/>
  <c r="K11" i="8"/>
  <c r="K12" i="8"/>
  <c r="K13" i="8"/>
  <c r="K14" i="8"/>
  <c r="K15" i="8"/>
  <c r="K16" i="8"/>
  <c r="K17" i="8"/>
  <c r="K18" i="8"/>
  <c r="S18" i="8" s="1"/>
  <c r="K19" i="8"/>
  <c r="K20" i="8"/>
  <c r="K21" i="8"/>
  <c r="K22" i="8"/>
  <c r="K23" i="8"/>
  <c r="K24" i="8"/>
  <c r="K25" i="8"/>
  <c r="K26" i="8"/>
  <c r="S26" i="8" s="1"/>
  <c r="K27" i="8"/>
  <c r="K28" i="8"/>
  <c r="K29" i="8"/>
  <c r="K30" i="8"/>
  <c r="K31" i="8"/>
  <c r="K32" i="8"/>
  <c r="K33" i="8"/>
  <c r="K34" i="8"/>
  <c r="S34" i="8" s="1"/>
  <c r="K35" i="8"/>
  <c r="K36" i="8"/>
  <c r="K37"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M7" i="8"/>
  <c r="M8" i="8"/>
  <c r="M9" i="8"/>
  <c r="M10" i="8"/>
  <c r="M11" i="8"/>
  <c r="T11" i="8" s="1"/>
  <c r="M12" i="8"/>
  <c r="T12" i="8" s="1"/>
  <c r="M13" i="8"/>
  <c r="M14" i="8"/>
  <c r="M15" i="8"/>
  <c r="M16" i="8"/>
  <c r="M17" i="8"/>
  <c r="M18" i="8"/>
  <c r="M19" i="8"/>
  <c r="M20" i="8"/>
  <c r="T20" i="8" s="1"/>
  <c r="M21" i="8"/>
  <c r="M22" i="8"/>
  <c r="M23" i="8"/>
  <c r="M24" i="8"/>
  <c r="M25" i="8"/>
  <c r="M26" i="8"/>
  <c r="M27" i="8"/>
  <c r="M28" i="8"/>
  <c r="T28" i="8" s="1"/>
  <c r="M29" i="8"/>
  <c r="M30" i="8"/>
  <c r="M31" i="8"/>
  <c r="M32" i="8"/>
  <c r="M33" i="8"/>
  <c r="M34" i="8"/>
  <c r="M35" i="8"/>
  <c r="M36" i="8"/>
  <c r="T36" i="8" s="1"/>
  <c r="M37" i="8"/>
  <c r="N7" i="8"/>
  <c r="N8" i="8"/>
  <c r="N9" i="8"/>
  <c r="N10" i="8"/>
  <c r="N11" i="8"/>
  <c r="N12" i="8"/>
  <c r="N13" i="8"/>
  <c r="S13" i="8" s="1"/>
  <c r="N14" i="8"/>
  <c r="N15" i="8"/>
  <c r="N16" i="8"/>
  <c r="N17" i="8"/>
  <c r="N18" i="8"/>
  <c r="N19" i="8"/>
  <c r="N20" i="8"/>
  <c r="N21" i="8"/>
  <c r="S21" i="8" s="1"/>
  <c r="N22" i="8"/>
  <c r="N23" i="8"/>
  <c r="N24" i="8"/>
  <c r="N25" i="8"/>
  <c r="N26" i="8"/>
  <c r="N27" i="8"/>
  <c r="N28" i="8"/>
  <c r="N29" i="8"/>
  <c r="S29" i="8" s="1"/>
  <c r="N30" i="8"/>
  <c r="N31" i="8"/>
  <c r="N32" i="8"/>
  <c r="N33" i="8"/>
  <c r="N34" i="8"/>
  <c r="N35" i="8"/>
  <c r="N36" i="8"/>
  <c r="N37" i="8"/>
  <c r="S37" i="8" s="1"/>
  <c r="O7" i="8"/>
  <c r="O8" i="8"/>
  <c r="O9" i="8"/>
  <c r="O10" i="8"/>
  <c r="O11" i="8"/>
  <c r="O12" i="8"/>
  <c r="O13" i="8"/>
  <c r="O14" i="8"/>
  <c r="O15" i="8"/>
  <c r="O16" i="8"/>
  <c r="O17" i="8"/>
  <c r="O18" i="8"/>
  <c r="O19" i="8"/>
  <c r="O20" i="8"/>
  <c r="O21" i="8"/>
  <c r="O22" i="8"/>
  <c r="T22" i="8" s="1"/>
  <c r="O23" i="8"/>
  <c r="O24" i="8"/>
  <c r="O25" i="8"/>
  <c r="O26" i="8"/>
  <c r="O27" i="8"/>
  <c r="O28" i="8"/>
  <c r="O29" i="8"/>
  <c r="O30" i="8"/>
  <c r="O31" i="8"/>
  <c r="O32" i="8"/>
  <c r="O33" i="8"/>
  <c r="O34" i="8"/>
  <c r="O35" i="8"/>
  <c r="O36" i="8"/>
  <c r="O37"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Q7" i="8"/>
  <c r="Q8" i="8"/>
  <c r="S8" i="8" s="1"/>
  <c r="Q9" i="8"/>
  <c r="Q10" i="8"/>
  <c r="Q11" i="8"/>
  <c r="Q12" i="8"/>
  <c r="Q13" i="8"/>
  <c r="Q14" i="8"/>
  <c r="Q15" i="8"/>
  <c r="Q16" i="8"/>
  <c r="S16" i="8" s="1"/>
  <c r="Q17" i="8"/>
  <c r="Q18" i="8"/>
  <c r="Q19" i="8"/>
  <c r="Q20" i="8"/>
  <c r="Q21" i="8"/>
  <c r="Q22" i="8"/>
  <c r="Q23" i="8"/>
  <c r="Q24" i="8"/>
  <c r="S24" i="8" s="1"/>
  <c r="Q25" i="8"/>
  <c r="Q26" i="8"/>
  <c r="Q27" i="8"/>
  <c r="Q28" i="8"/>
  <c r="Q29" i="8"/>
  <c r="Q30" i="8"/>
  <c r="Q31" i="8"/>
  <c r="Q32" i="8"/>
  <c r="S32" i="8" s="1"/>
  <c r="Q33" i="8"/>
  <c r="Q34" i="8"/>
  <c r="Q35" i="8"/>
  <c r="Q36" i="8"/>
  <c r="Q37"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S14" i="8" l="1"/>
  <c r="S30" i="8"/>
  <c r="T17" i="8"/>
  <c r="T31" i="8"/>
  <c r="U24" i="8"/>
  <c r="W24" i="8" s="1"/>
  <c r="T7" i="8"/>
  <c r="T33" i="8"/>
  <c r="S36" i="8"/>
  <c r="S28" i="8"/>
  <c r="S20" i="8"/>
  <c r="S12" i="8"/>
  <c r="T9" i="8"/>
  <c r="T15" i="8"/>
  <c r="T25" i="8"/>
  <c r="T23" i="8"/>
  <c r="T35" i="8"/>
  <c r="T27" i="8"/>
  <c r="T19" i="8"/>
  <c r="S22" i="8"/>
  <c r="U8" i="8"/>
  <c r="W8" i="8" s="1"/>
  <c r="U21" i="8"/>
  <c r="W21" i="8" s="1"/>
  <c r="S27" i="8"/>
  <c r="S11" i="8"/>
  <c r="U34" i="8"/>
  <c r="W34" i="8" s="1"/>
  <c r="U26" i="8"/>
  <c r="W26" i="8" s="1"/>
  <c r="U18" i="8"/>
  <c r="W18" i="8" s="1"/>
  <c r="U10" i="8"/>
  <c r="W10" i="8" s="1"/>
  <c r="U33" i="8"/>
  <c r="W33" i="8" s="1"/>
  <c r="U25" i="8"/>
  <c r="U17" i="8"/>
  <c r="W17" i="8" s="1"/>
  <c r="U9" i="8"/>
  <c r="W9" i="8" s="1"/>
  <c r="T32" i="8"/>
  <c r="T24" i="8"/>
  <c r="T16" i="8"/>
  <c r="T8" i="8"/>
  <c r="U31" i="8"/>
  <c r="W31" i="8" s="1"/>
  <c r="U23" i="8"/>
  <c r="W23" i="8" s="1"/>
  <c r="U15" i="8"/>
  <c r="W15" i="8" s="1"/>
  <c r="U7" i="8"/>
  <c r="W7" i="8" s="1"/>
  <c r="U30" i="8"/>
  <c r="W30" i="8" s="1"/>
  <c r="U22" i="8"/>
  <c r="W22" i="8" s="1"/>
  <c r="U14" i="8"/>
  <c r="W14" i="8" s="1"/>
  <c r="U37" i="8"/>
  <c r="W37" i="8" s="1"/>
  <c r="T29" i="8"/>
  <c r="U32" i="8"/>
  <c r="W32" i="8" s="1"/>
  <c r="U16" i="8"/>
  <c r="W16" i="8" s="1"/>
  <c r="T30" i="8"/>
  <c r="U29" i="8"/>
  <c r="W29" i="8" s="1"/>
  <c r="U13" i="8"/>
  <c r="W13" i="8" s="1"/>
  <c r="S35" i="8"/>
  <c r="S19" i="8"/>
  <c r="W25" i="8"/>
  <c r="U36" i="8"/>
  <c r="W36" i="8" s="1"/>
  <c r="U28" i="8"/>
  <c r="W28" i="8" s="1"/>
  <c r="U20" i="8"/>
  <c r="W20" i="8" s="1"/>
  <c r="U12" i="8"/>
  <c r="W12" i="8" s="1"/>
  <c r="U35" i="8"/>
  <c r="W35" i="8" s="1"/>
  <c r="U27" i="8"/>
  <c r="W27" i="8" s="1"/>
  <c r="U19" i="8"/>
  <c r="W19" i="8" s="1"/>
  <c r="U11" i="8"/>
  <c r="W11" i="8" s="1"/>
  <c r="T34" i="8"/>
  <c r="T26" i="8"/>
  <c r="T18" i="8"/>
  <c r="T10" i="8"/>
  <c r="S33" i="8"/>
  <c r="S25" i="8"/>
  <c r="S17" i="8"/>
  <c r="S9" i="8"/>
  <c r="S31" i="8"/>
  <c r="S23" i="8"/>
  <c r="S15" i="8"/>
  <c r="S7" i="8"/>
  <c r="T37" i="8"/>
  <c r="T21" i="8"/>
  <c r="T1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DBADBA-36BF-4ACF-BD40-988F84AB0935}" keepAlive="1" name="Query - downtime-factors" description="Connection to the 'downtime-factors' query in the workbook." type="5" refreshedVersion="6" background="1" saveData="1">
    <dbPr connection="Provider=Microsoft.Mashup.OleDb.1;Data Source=$Workbook$;Location=downtime-factors;Extended Properties=&quot;&quot;" command="SELECT * FROM [downtime-factors]"/>
  </connection>
  <connection id="2" xr16:uid="{C202DBBF-86BE-4733-88DC-55069DC2851D}" keepAlive="1" name="Query - line-downtime" description="Connection to the 'line-downtime' query in the workbook." type="5" refreshedVersion="6" background="1" saveData="1">
    <dbPr connection="Provider=Microsoft.Mashup.OleDb.1;Data Source=$Workbook$;Location=line-downtime;Extended Properties=&quot;&quot;" command="SELECT * FROM [line-downtime]"/>
  </connection>
  <connection id="3" xr16:uid="{D976AC3D-FC27-4F7D-932D-B11CF4DBDCC4}" keepAlive="1" name="Query - line-productivity" description="Connection to the 'line-productivity' query in the workbook." type="5" refreshedVersion="6" background="1" saveData="1">
    <dbPr connection="Provider=Microsoft.Mashup.OleDb.1;Data Source=$Workbook$;Location=line-productivity;Extended Properties=&quot;&quot;" command="SELECT * FROM [line-productivity]"/>
  </connection>
  <connection id="4" xr16:uid="{B6C75DE0-763D-4653-B890-8989AAC96AB5}" keepAlive="1" name="Query - line-productivity (2)" description="Connection to the 'line-productivity (2)' query in the workbook." type="5" refreshedVersion="6" background="1" saveData="1">
    <dbPr connection="Provider=Microsoft.Mashup.OleDb.1;Data Source=$Workbook$;Location=line-productivity (2);Extended Properties=&quot;&quot;" command="SELECT * FROM [line-productivity (2)]"/>
  </connection>
  <connection id="5" xr16:uid="{D6BAE792-CE61-4A61-942A-4CB106DFB8BB}" keepAlive="1" name="Query - metadata" description="Connection to the 'metadata' query in the workbook." type="5" refreshedVersion="6" background="1" saveData="1">
    <dbPr connection="Provider=Microsoft.Mashup.OleDb.1;Data Source=$Workbook$;Location=metadata;Extended Properties=&quot;&quot;" command="SELECT * FROM [metadata]"/>
  </connection>
  <connection id="6" xr16:uid="{BA9A8BEE-CD7A-49B8-874A-E528252140B7}"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<sst xmlns="http://schemas.openxmlformats.org/spreadsheetml/2006/main" count="502" uniqueCount="207">
  <si>
    <t>Factor</t>
  </si>
  <si>
    <t>Description</t>
  </si>
  <si>
    <t>Operator Error</t>
  </si>
  <si>
    <t>Emergency stop</t>
  </si>
  <si>
    <t>No</t>
  </si>
  <si>
    <t>Batch change</t>
  </si>
  <si>
    <t>Yes</t>
  </si>
  <si>
    <t>Labeling error</t>
  </si>
  <si>
    <t>Inventory shortage</t>
  </si>
  <si>
    <t>Product spill</t>
  </si>
  <si>
    <t>Machine adjustment</t>
  </si>
  <si>
    <t>Machine failure</t>
  </si>
  <si>
    <t>Batch coding error</t>
  </si>
  <si>
    <t>Conveyor belt jam</t>
  </si>
  <si>
    <t>Calibration error</t>
  </si>
  <si>
    <t>Label switch</t>
  </si>
  <si>
    <t>Other</t>
  </si>
  <si>
    <t>Batch</t>
  </si>
  <si>
    <t>Factor 1</t>
  </si>
  <si>
    <t>422111</t>
  </si>
  <si>
    <t/>
  </si>
  <si>
    <t>422112</t>
  </si>
  <si>
    <t>422113</t>
  </si>
  <si>
    <t>422114</t>
  </si>
  <si>
    <t>422115</t>
  </si>
  <si>
    <t>422116</t>
  </si>
  <si>
    <t>422117</t>
  </si>
  <si>
    <t>422118</t>
  </si>
  <si>
    <t>422119</t>
  </si>
  <si>
    <t>422120</t>
  </si>
  <si>
    <t>422121</t>
  </si>
  <si>
    <t>422122</t>
  </si>
  <si>
    <t>422123</t>
  </si>
  <si>
    <t>422124</t>
  </si>
  <si>
    <t>422125</t>
  </si>
  <si>
    <t>422126</t>
  </si>
  <si>
    <t>422127</t>
  </si>
  <si>
    <t>422128</t>
  </si>
  <si>
    <t>422129</t>
  </si>
  <si>
    <t>422130</t>
  </si>
  <si>
    <t>422131</t>
  </si>
  <si>
    <t>422132</t>
  </si>
  <si>
    <t>422133</t>
  </si>
  <si>
    <t>422134</t>
  </si>
  <si>
    <t>422135</t>
  </si>
  <si>
    <t>422136</t>
  </si>
  <si>
    <t>422137</t>
  </si>
  <si>
    <t>422138</t>
  </si>
  <si>
    <t>422139</t>
  </si>
  <si>
    <t>422140</t>
  </si>
  <si>
    <t>422141</t>
  </si>
  <si>
    <t>422142</t>
  </si>
  <si>
    <t>422143</t>
  </si>
  <si>
    <t>422144</t>
  </si>
  <si>
    <t>422145</t>
  </si>
  <si>
    <t>422146</t>
  </si>
  <si>
    <t>422147</t>
  </si>
  <si>
    <t>422148</t>
  </si>
  <si>
    <t>Date</t>
  </si>
  <si>
    <t>Product</t>
  </si>
  <si>
    <t>Operator</t>
  </si>
  <si>
    <t>Start Time</t>
  </si>
  <si>
    <t>End Time</t>
  </si>
  <si>
    <t>OR-600</t>
  </si>
  <si>
    <t>Mac</t>
  </si>
  <si>
    <t>LE-600</t>
  </si>
  <si>
    <t>Charlie</t>
  </si>
  <si>
    <t>CO-600</t>
  </si>
  <si>
    <t>Dee</t>
  </si>
  <si>
    <t>Dennis</t>
  </si>
  <si>
    <t>DC-600</t>
  </si>
  <si>
    <t>CO-2L</t>
  </si>
  <si>
    <t>Table</t>
  </si>
  <si>
    <t>Field</t>
  </si>
  <si>
    <t>Line productivity</t>
  </si>
  <si>
    <t>Fact table containing details for each batch produced</t>
  </si>
  <si>
    <t>Date the batch was produced</t>
  </si>
  <si>
    <t>ID for the product produced in the batch</t>
  </si>
  <si>
    <t>Unique ID for the batch produced</t>
  </si>
  <si>
    <t>Production line operator in charge of the batch</t>
  </si>
  <si>
    <t>Time the batch production started</t>
  </si>
  <si>
    <t>Time the batch production ended</t>
  </si>
  <si>
    <t>Products</t>
  </si>
  <si>
    <t>Dimension table with details on each product</t>
  </si>
  <si>
    <t>Unique product ID</t>
  </si>
  <si>
    <t>Flavor</t>
  </si>
  <si>
    <t>Soda flavor for the product</t>
  </si>
  <si>
    <t>Size</t>
  </si>
  <si>
    <t>Product size (volume)</t>
  </si>
  <si>
    <t>Min batch time</t>
  </si>
  <si>
    <t>Minimum time required to produce a batch (with no downtime)</t>
  </si>
  <si>
    <t>Line downtime</t>
  </si>
  <si>
    <t>Fact table containing downtime (in minutes) by factor for each batch</t>
  </si>
  <si>
    <t>Downtime factor</t>
  </si>
  <si>
    <t>Downtime minutes for each factor ID (across columns)</t>
  </si>
  <si>
    <t>Downtime factors</t>
  </si>
  <si>
    <t>Dimension table with details on each downtime factor</t>
  </si>
  <si>
    <t>Unique ID for each downtime factor</t>
  </si>
  <si>
    <t>Downtime factor description</t>
  </si>
  <si>
    <t>Is this due to operator error? (Yes/No)</t>
  </si>
  <si>
    <t>Orange</t>
  </si>
  <si>
    <t>600 ml</t>
  </si>
  <si>
    <t>Lemon lime</t>
  </si>
  <si>
    <t>Cola</t>
  </si>
  <si>
    <t>Diet Cola</t>
  </si>
  <si>
    <t>2 L</t>
  </si>
  <si>
    <t>What is the existing efficiency of the production line? (total production time vs. minimum possible time)</t>
  </si>
  <si>
    <t>Are there any operators whose performance falls below expectations?</t>
  </si>
  <si>
    <t>What are the primary causes of downtime?</t>
  </si>
  <si>
    <t>Do specific operators face challenges with certain types of operational errors?</t>
  </si>
  <si>
    <t>Manufacturing Efficiency in Downtime Operations For a Soda Bottling Line</t>
  </si>
  <si>
    <t>BQ</t>
  </si>
  <si>
    <t>TD</t>
  </si>
  <si>
    <t>PT</t>
  </si>
  <si>
    <t>NT</t>
  </si>
  <si>
    <t>Grand Total</t>
  </si>
  <si>
    <t>Efficiency.</t>
  </si>
  <si>
    <t>Produk</t>
  </si>
  <si>
    <t>Downtime Operator Error</t>
  </si>
  <si>
    <t>Emergency Stop</t>
  </si>
  <si>
    <t>Batch Change</t>
  </si>
  <si>
    <t>Labeling Error</t>
  </si>
  <si>
    <t>Inventory Shortage</t>
  </si>
  <si>
    <t>Product Spill</t>
  </si>
  <si>
    <t>Machine Adjustment</t>
  </si>
  <si>
    <t>Machine Failure</t>
  </si>
  <si>
    <t>Batch Coding Error</t>
  </si>
  <si>
    <t>Conveyor Belt Jam</t>
  </si>
  <si>
    <t>Calibration Error</t>
  </si>
  <si>
    <t>Label Switch</t>
  </si>
  <si>
    <t>14:05:00</t>
  </si>
  <si>
    <t>15:45:00</t>
  </si>
  <si>
    <t>17:35:00</t>
  </si>
  <si>
    <t>19:15:00</t>
  </si>
  <si>
    <t>20:39:00</t>
  </si>
  <si>
    <t>21:39:00</t>
  </si>
  <si>
    <t>22:54:00</t>
  </si>
  <si>
    <t>06:05:00</t>
  </si>
  <si>
    <t>07:30:00</t>
  </si>
  <si>
    <t>09:22:00</t>
  </si>
  <si>
    <t>10:37:00</t>
  </si>
  <si>
    <t>12:02:00</t>
  </si>
  <si>
    <t>14:15:00</t>
  </si>
  <si>
    <t>15:55:00</t>
  </si>
  <si>
    <t>17:15:00</t>
  </si>
  <si>
    <t>18:59:00</t>
  </si>
  <si>
    <t>20:22:00</t>
  </si>
  <si>
    <t>22:14:00</t>
  </si>
  <si>
    <t>23:29:00</t>
  </si>
  <si>
    <t>09:05:00</t>
  </si>
  <si>
    <t>10:35:00</t>
  </si>
  <si>
    <t>11:35:00</t>
  </si>
  <si>
    <t>12:55:00</t>
  </si>
  <si>
    <t>14:45:00</t>
  </si>
  <si>
    <t>16:30:00</t>
  </si>
  <si>
    <t>17:30:00</t>
  </si>
  <si>
    <t>14:50:00</t>
  </si>
  <si>
    <t>16:50:00</t>
  </si>
  <si>
    <t>19:30:00</t>
  </si>
  <si>
    <t>22:55:00</t>
  </si>
  <si>
    <t>1900-01-01 01:05:00</t>
  </si>
  <si>
    <t>Column1</t>
  </si>
  <si>
    <t>Column2</t>
  </si>
  <si>
    <t>Column3</t>
  </si>
  <si>
    <t>Column4</t>
  </si>
  <si>
    <t>Column5</t>
  </si>
  <si>
    <t>Column6</t>
  </si>
  <si>
    <t>Column7</t>
  </si>
  <si>
    <t>Column8</t>
  </si>
  <si>
    <t>Column9</t>
  </si>
  <si>
    <t>Column10</t>
  </si>
  <si>
    <t>Column11</t>
  </si>
  <si>
    <t>Column12</t>
  </si>
  <si>
    <t>Column13</t>
  </si>
  <si>
    <t>1.0</t>
  </si>
  <si>
    <t>Emergency Stop.</t>
  </si>
  <si>
    <t>Batch Change.</t>
  </si>
  <si>
    <t>Labeling Error.</t>
  </si>
  <si>
    <t>Inventory Shortage.</t>
  </si>
  <si>
    <t>Product Spill.</t>
  </si>
  <si>
    <t>Machine Adjustment.</t>
  </si>
  <si>
    <t>Machine Failure.</t>
  </si>
  <si>
    <t>Batch Coding Error.</t>
  </si>
  <si>
    <t>Conveyor Belt Jam.</t>
  </si>
  <si>
    <t>Calibration Error.</t>
  </si>
  <si>
    <t>Label Switch.</t>
  </si>
  <si>
    <t>Other.</t>
  </si>
  <si>
    <t>KPI.4  Operator Errors Challenges</t>
  </si>
  <si>
    <t>Downtime non Operator Error</t>
  </si>
  <si>
    <t>Downtime Operator Error.</t>
  </si>
  <si>
    <t>Downtime non Operator Error.</t>
  </si>
  <si>
    <t>Downtime</t>
  </si>
  <si>
    <t>(All)</t>
  </si>
  <si>
    <t>Key Performance Indicator</t>
  </si>
  <si>
    <t>Production Efficiency</t>
  </si>
  <si>
    <t>Operator Performance</t>
  </si>
  <si>
    <t>Top Downtime</t>
  </si>
  <si>
    <t>Summary</t>
  </si>
  <si>
    <t>Operator Errors Chalenges</t>
  </si>
  <si>
    <t>Batch Changes</t>
  </si>
  <si>
    <r>
      <rPr>
        <b/>
        <sz val="11"/>
        <color theme="1"/>
        <rFont val="Constantia"/>
        <family val="1"/>
      </rPr>
      <t>Key Insight:</t>
    </r>
    <r>
      <rPr>
        <sz val="11"/>
        <color theme="1"/>
        <rFont val="Constantia"/>
        <family val="1"/>
      </rPr>
      <t xml:space="preserve">
- The product Orange with code OR-600 has a </t>
    </r>
    <r>
      <rPr>
        <b/>
        <sz val="11"/>
        <color theme="1"/>
        <rFont val="Constantia"/>
        <family val="1"/>
      </rPr>
      <t xml:space="preserve">production efficiency </t>
    </r>
    <r>
      <rPr>
        <sz val="11"/>
        <color theme="1"/>
        <rFont val="Constantia"/>
        <family val="1"/>
      </rPr>
      <t xml:space="preserve">value of 44%, which is below the </t>
    </r>
    <r>
      <rPr>
        <b/>
        <sz val="11"/>
        <color theme="1"/>
        <rFont val="Constantia"/>
        <family val="1"/>
      </rPr>
      <t>average of 64%</t>
    </r>
    <r>
      <rPr>
        <sz val="11"/>
        <color theme="1"/>
        <rFont val="Constantia"/>
        <family val="1"/>
      </rPr>
      <t xml:space="preserve">
- </t>
    </r>
    <r>
      <rPr>
        <b/>
        <sz val="11"/>
        <color theme="1"/>
        <rFont val="Constantia"/>
        <family val="1"/>
      </rPr>
      <t xml:space="preserve">Average operator performance is 64% </t>
    </r>
    <r>
      <rPr>
        <sz val="11"/>
        <color theme="1"/>
        <rFont val="Constantia"/>
        <family val="1"/>
      </rPr>
      <t xml:space="preserve">with Dennis and Mac below avarage at 62% dan 61% respectively
- The 3 </t>
    </r>
    <r>
      <rPr>
        <b/>
        <sz val="11"/>
        <color theme="1"/>
        <rFont val="Constantia"/>
        <family val="1"/>
      </rPr>
      <t xml:space="preserve">largest downtime </t>
    </r>
    <r>
      <rPr>
        <sz val="11"/>
        <color theme="1"/>
        <rFont val="Constantia"/>
        <family val="1"/>
      </rPr>
      <t xml:space="preserve">factors are </t>
    </r>
    <r>
      <rPr>
        <b/>
        <sz val="11"/>
        <color theme="1"/>
        <rFont val="Constantia"/>
        <family val="1"/>
      </rPr>
      <t>machine failure 7.4%</t>
    </r>
    <r>
      <rPr>
        <sz val="11"/>
        <color theme="1"/>
        <rFont val="Constantia"/>
        <family val="1"/>
      </rPr>
      <t xml:space="preserve">, inventory shortage 6.4%, and machine adjustment 6.2% of the total operating time of 53 Hours
- Charlie, with above-average performance, faced the highest error challenge in </t>
    </r>
    <r>
      <rPr>
        <b/>
        <sz val="11"/>
        <color theme="1"/>
        <rFont val="Constantia"/>
        <family val="1"/>
      </rPr>
      <t>machine adjustment for 118 minutes</t>
    </r>
    <r>
      <rPr>
        <sz val="11"/>
        <color theme="1"/>
        <rFont val="Constantia"/>
        <family val="1"/>
      </rPr>
      <t xml:space="preserve">, while Mac as an operator with below-average performance, faced the highest error challenge in </t>
    </r>
    <r>
      <rPr>
        <b/>
        <sz val="11"/>
        <color theme="1"/>
        <rFont val="Constantia"/>
        <family val="1"/>
      </rPr>
      <t>batch change for 130 minutes</t>
    </r>
    <r>
      <rPr>
        <sz val="11"/>
        <color theme="1"/>
        <rFont val="Constantia"/>
        <family val="1"/>
      </rPr>
      <t>.</t>
    </r>
  </si>
  <si>
    <t>Data preparation steps included:</t>
  </si>
  <si>
    <t>• Importing CSV data into Excel</t>
  </si>
  <si>
    <t>• Converting time fields into proper datetime format</t>
  </si>
  <si>
    <t>• Standardizing categorical variables (Product, Operator, Downtime Type)</t>
  </si>
  <si>
    <t>• Handling missing values in downtime categories</t>
  </si>
  <si>
    <r>
      <rPr>
        <b/>
        <sz val="9.6999999999999993"/>
        <color theme="1"/>
        <rFont val="Constantia"/>
        <family val="1"/>
      </rPr>
      <t xml:space="preserve">The raw dataset was provided in CSV format and required several preprocessing steps before analysis.
</t>
    </r>
    <r>
      <rPr>
        <sz val="11"/>
        <color theme="1"/>
        <rFont val="Constantia"/>
        <family val="1"/>
      </rPr>
      <t xml:space="preserve">
Data preparation steps included:
• Importing CSV data into Excel
• Converting time fields into proper datetime format
• Standardizing categorical variables (Product, Operator, Downtime Type)
• Handling missing values in downtime categories
• Creating calculated columns such as Process Time and Efficiency
• Structuring the dataset into analysis-ready tables for pivot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</si>
</sst>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Calibri"/>
      <family val="2"/>
      <scheme val="minor"/>
    </font>
    <font>
      <sz val="8"/>
      <name val="Calibri"/>
      <family val="2"/>
      <scheme val="minor"/>
    </font>
    <font>
      <sz val="11"/>
      <color theme="1"/>
      <name val="Calibri"/>
      <family val="2"/>
      <scheme val="minor"/>
    </font>
    <font>
      <sz val="11"/>
      <color theme="1"/>
      <name val="Constantia"/>
      <family val="1"/>
    </font>
    <font>
      <b/>
      <sz val="18"/>
      <color theme="1"/>
      <name val="Constantia"/>
      <family val="1"/>
    </font>
    <font>
      <b/>
      <sz val="11"/>
      <color theme="1"/>
      <name val="Constantia"/>
      <family val="1"/>
    </font>
    <font>
      <b/>
      <sz val="9.6999999999999993"/>
      <color theme="1"/>
      <name val="Constantia"/>
      <family val="1"/>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27">
    <xf numFmtId="0" fontId="0" fillId="0" borderId="0" xfId="0"/>
    <xf numFmtId="0" fontId="0" fillId="0" borderId="0" xfId="0" applyNumberFormat="1"/>
    <xf numFmtId="14" fontId="0" fillId="0" borderId="0" xfId="0" applyNumberFormat="1"/>
    <xf numFmtId="20" fontId="0" fillId="0" borderId="0" xfId="0" applyNumberFormat="1"/>
    <xf numFmtId="0" fontId="3" fillId="0" borderId="0" xfId="0" applyFont="1"/>
    <xf numFmtId="0" fontId="3" fillId="0" borderId="0" xfId="0" applyFont="1" applyAlignment="1">
      <alignment horizontal="center" vertical="center"/>
    </xf>
    <xf numFmtId="14" fontId="3" fillId="0" borderId="0" xfId="0" applyNumberFormat="1" applyFont="1"/>
    <xf numFmtId="0" fontId="3" fillId="0" borderId="0" xfId="0" applyNumberFormat="1" applyFont="1"/>
    <xf numFmtId="20" fontId="3" fillId="0" borderId="0" xfId="0" applyNumberFormat="1" applyFont="1"/>
    <xf numFmtId="0" fontId="0" fillId="0" borderId="0" xfId="0" pivotButton="1"/>
    <xf numFmtId="0" fontId="0" fillId="0" borderId="0" xfId="0" applyAlignment="1">
      <alignment horizontal="left"/>
    </xf>
    <xf numFmtId="43" fontId="0" fillId="0" borderId="0" xfId="1" applyFont="1"/>
    <xf numFmtId="9" fontId="0" fillId="0" borderId="0" xfId="0" applyNumberFormat="1"/>
    <xf numFmtId="0" fontId="0" fillId="0" borderId="0" xfId="0" pivotButton="1" applyAlignment="1">
      <alignment horizontal="center" vertical="center"/>
    </xf>
    <xf numFmtId="0" fontId="0" fillId="0" borderId="0" xfId="0" pivotButton="1" applyAlignment="1">
      <alignment horizontal="center" vertical="center" wrapText="1"/>
    </xf>
    <xf numFmtId="0" fontId="0" fillId="2" borderId="1" xfId="0" applyNumberFormat="1" applyFont="1" applyFill="1" applyBorder="1"/>
    <xf numFmtId="0" fontId="0" fillId="0" borderId="1" xfId="0" applyNumberFormat="1" applyFont="1" applyBorder="1"/>
    <xf numFmtId="0" fontId="0" fillId="0" borderId="0" xfId="0" applyAlignment="1">
      <alignment horizontal="left" vertical="center" wrapText="1"/>
    </xf>
    <xf numFmtId="164" fontId="0" fillId="0" borderId="0" xfId="0" applyNumberFormat="1"/>
    <xf numFmtId="9" fontId="0" fillId="0" borderId="0" xfId="0" applyNumberFormat="1" applyFont="1"/>
    <xf numFmtId="0" fontId="4" fillId="0" borderId="0" xfId="0" applyFont="1" applyAlignment="1">
      <alignment horizontal="center" vertical="center" wrapText="1"/>
    </xf>
    <xf numFmtId="0" fontId="3" fillId="0" borderId="2" xfId="0" applyFont="1" applyBorder="1" applyAlignment="1">
      <alignment horizontal="right"/>
    </xf>
    <xf numFmtId="0" fontId="3" fillId="0" borderId="2" xfId="0" applyFont="1" applyBorder="1"/>
    <xf numFmtId="0" fontId="0" fillId="0" borderId="2" xfId="0" applyBorder="1"/>
    <xf numFmtId="0" fontId="5" fillId="0" borderId="2" xfId="0" applyFont="1" applyBorder="1" applyAlignment="1">
      <alignment horizontal="center"/>
    </xf>
    <xf numFmtId="9" fontId="3" fillId="0" borderId="2" xfId="0" applyNumberFormat="1" applyFont="1" applyBorder="1" applyAlignment="1">
      <alignment horizontal="center" vertical="center"/>
    </xf>
    <xf numFmtId="0" fontId="3" fillId="0" borderId="0" xfId="0" applyFont="1" applyBorder="1" applyAlignment="1">
      <alignment horizontal="left" vertical="top" wrapText="1"/>
    </xf>
  </cellXfs>
  <cellStyles count="2">
    <cellStyle name="Comma" xfId="1" builtinId="3"/>
    <cellStyle name="Normal" xfId="0" builtinId="0"/>
  </cellStyles>
  <dxfs count="79">
    <dxf>
      <alignment vertical="center"/>
    </dxf>
    <dxf>
      <alignment vertical="center"/>
    </dxf>
    <dxf>
      <alignment horizontal="center"/>
    </dxf>
    <dxf>
      <alignment wrapText="1"/>
    </dxf>
    <dxf>
      <alignment wrapText="1"/>
    </dxf>
    <dxf>
      <alignment horizontal="left"/>
    </dxf>
    <dxf>
      <numFmt numFmtId="164" formatCode="_(* #,##0_);_(* \(#,##0\);_(* &quot;-&quot;??_);_(@_)"/>
    </dxf>
    <dxf>
      <alignment vertical="center"/>
    </dxf>
    <dxf>
      <alignment vertical="center"/>
    </dxf>
    <dxf>
      <alignment horizontal="center"/>
    </dxf>
    <dxf>
      <alignment wrapText="1"/>
    </dxf>
    <dxf>
      <alignment wrapText="1"/>
    </dxf>
    <dxf>
      <alignment horizontal="left"/>
    </dxf>
    <dxf>
      <numFmt numFmtId="164" formatCode="_(* #,##0_);_(* \(#,##0\);_(* &quot;-&quot;??_);_(@_)"/>
    </dxf>
    <dxf>
      <alignment vertical="center"/>
    </dxf>
    <dxf>
      <alignment vertical="center"/>
    </dxf>
    <dxf>
      <alignment horizontal="center"/>
    </dxf>
    <dxf>
      <alignment wrapText="1"/>
    </dxf>
    <dxf>
      <alignment wrapText="1"/>
    </dxf>
    <dxf>
      <alignment horizontal="left"/>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5" formatCode="h:mm"/>
    </dxf>
    <dxf>
      <numFmt numFmtId="25" formatCode="h:mm"/>
    </dxf>
    <dxf>
      <numFmt numFmtId="0" formatCode="General"/>
    </dxf>
    <dxf>
      <numFmt numFmtId="0" formatCode="General"/>
    </dxf>
    <dxf>
      <numFmt numFmtId="19" formatCode="m/d/yyyy"/>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numFmt numFmtId="0" formatCode="General"/>
    </dxf>
    <dxf>
      <font>
        <strike val="0"/>
        <outline val="0"/>
        <shadow val="0"/>
        <u val="none"/>
        <vertAlign val="baseline"/>
        <sz val="11"/>
        <color theme="1"/>
        <name val="Constantia"/>
        <family val="1"/>
        <scheme val="none"/>
      </font>
    </dxf>
    <dxf>
      <font>
        <b val="0"/>
        <i val="0"/>
        <strike val="0"/>
        <condense val="0"/>
        <extend val="0"/>
        <outline val="0"/>
        <shadow val="0"/>
        <u val="none"/>
        <vertAlign val="baseline"/>
        <sz val="11"/>
        <color theme="1"/>
        <name val="Constantia"/>
        <family val="1"/>
        <scheme val="none"/>
      </font>
    </dxf>
    <dxf>
      <font>
        <b val="0"/>
        <i val="0"/>
        <strike val="0"/>
        <condense val="0"/>
        <extend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numFmt numFmtId="0" formatCode="General"/>
    </dxf>
    <dxf>
      <font>
        <strike val="0"/>
        <outline val="0"/>
        <shadow val="0"/>
        <u val="none"/>
        <vertAlign val="baseline"/>
        <sz val="11"/>
        <color theme="1"/>
        <name val="Constantia"/>
        <family val="1"/>
        <scheme val="none"/>
      </font>
      <numFmt numFmtId="0" formatCode="General"/>
    </dxf>
    <dxf>
      <font>
        <strike val="0"/>
        <outline val="0"/>
        <shadow val="0"/>
        <u val="none"/>
        <vertAlign val="baseline"/>
        <sz val="11"/>
        <color theme="1"/>
        <name val="Constantia"/>
        <family val="1"/>
        <scheme val="none"/>
      </font>
      <numFmt numFmtId="25" formatCode="h:mm"/>
    </dxf>
    <dxf>
      <font>
        <strike val="0"/>
        <outline val="0"/>
        <shadow val="0"/>
        <u val="none"/>
        <vertAlign val="baseline"/>
        <sz val="11"/>
        <color theme="1"/>
        <name val="Constantia"/>
        <family val="1"/>
        <scheme val="none"/>
      </font>
      <numFmt numFmtId="25" formatCode="h:mm"/>
    </dxf>
    <dxf>
      <font>
        <strike val="0"/>
        <outline val="0"/>
        <shadow val="0"/>
        <u val="none"/>
        <vertAlign val="baseline"/>
        <sz val="11"/>
        <color theme="1"/>
        <name val="Constantia"/>
        <family val="1"/>
        <scheme val="none"/>
      </font>
      <numFmt numFmtId="0" formatCode="General"/>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numFmt numFmtId="0" formatCode="General"/>
    </dxf>
    <dxf>
      <font>
        <strike val="0"/>
        <outline val="0"/>
        <shadow val="0"/>
        <u val="none"/>
        <vertAlign val="baseline"/>
        <sz val="11"/>
        <color theme="1"/>
        <name val="Constantia"/>
        <family val="1"/>
        <scheme val="none"/>
      </font>
      <numFmt numFmtId="19" formatCode="m/d/yyyy"/>
    </dxf>
    <dxf>
      <font>
        <strike val="0"/>
        <outline val="0"/>
        <shadow val="0"/>
        <u val="none"/>
        <vertAlign val="baseline"/>
        <sz val="11"/>
        <color theme="1"/>
        <name val="Constantia"/>
        <family val="1"/>
        <scheme val="none"/>
      </font>
    </dxf>
    <dxf>
      <font>
        <strike val="0"/>
        <outline val="0"/>
        <shadow val="0"/>
        <u val="none"/>
        <vertAlign val="baseline"/>
        <sz val="11"/>
        <color theme="1"/>
        <name val="Constantia"/>
        <family val="1"/>
        <scheme val="none"/>
      </font>
      <alignment horizontal="center" vertical="center" textRotation="0" wrapText="0" indent="0" justifyLastLine="0" shrinkToFit="0" readingOrder="0"/>
    </dxf>
    <dxf>
      <font>
        <b val="0"/>
      </font>
    </dxf>
    <dxf>
      <alignment vertical="center"/>
    </dxf>
    <dxf>
      <alignment vertical="center"/>
    </dxf>
    <dxf>
      <alignment horizontal="center"/>
    </dxf>
    <dxf>
      <alignment horizontal="center"/>
    </dxf>
    <dxf>
      <numFmt numFmtId="13" formatCode="0%"/>
    </dxf>
    <dxf>
      <numFmt numFmtId="164" formatCode="_(* #,##0_);_(* \(#,##0\);_(* &quot;-&quot;??_);_(@_)"/>
    </dxf>
    <dxf>
      <alignment horizontal="left"/>
    </dxf>
    <dxf>
      <alignment wrapText="1"/>
    </dxf>
    <dxf>
      <alignment wrapText="1"/>
    </dxf>
    <dxf>
      <alignment horizontal="center"/>
    </dxf>
    <dxf>
      <alignment vertical="center"/>
    </dxf>
    <dxf>
      <alignment vertical="center"/>
    </dxf>
    <dxf>
      <numFmt numFmtId="13" formatCode="0%"/>
    </dxf>
    <dxf>
      <alignment wrapText="1"/>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efficiency in downtime operation.xlsx]Dashboard!PivotTable1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Line Efficiency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Dashboard!$B$17:$B$22</c:f>
              <c:strCache>
                <c:ptCount val="5"/>
                <c:pt idx="0">
                  <c:v>LE-600</c:v>
                </c:pt>
                <c:pt idx="1">
                  <c:v>DC-600</c:v>
                </c:pt>
                <c:pt idx="2">
                  <c:v>CO-600</c:v>
                </c:pt>
                <c:pt idx="3">
                  <c:v>CO-2L</c:v>
                </c:pt>
                <c:pt idx="4">
                  <c:v>OR-600</c:v>
                </c:pt>
              </c:strCache>
            </c:strRef>
          </c:cat>
          <c:val>
            <c:numRef>
              <c:f>Dashboard!$C$17:$C$22</c:f>
              <c:numCache>
                <c:formatCode>0%</c:formatCode>
                <c:ptCount val="5"/>
                <c:pt idx="0">
                  <c:v>0.68052930056710748</c:v>
                </c:pt>
                <c:pt idx="1">
                  <c:v>0.676056338028169</c:v>
                </c:pt>
                <c:pt idx="2">
                  <c:v>0.64562410329985664</c:v>
                </c:pt>
                <c:pt idx="3">
                  <c:v>0.63885267275097779</c:v>
                </c:pt>
                <c:pt idx="4">
                  <c:v>0.44444444444444442</c:v>
                </c:pt>
              </c:numCache>
            </c:numRef>
          </c:val>
          <c:extLst>
            <c:ext xmlns:c16="http://schemas.microsoft.com/office/drawing/2014/chart" uri="{C3380CC4-5D6E-409C-BE32-E72D297353CC}">
              <c16:uniqueId val="{00000000-4B26-4F4D-A12B-D5F3A398067E}"/>
            </c:ext>
          </c:extLst>
        </c:ser>
        <c:dLbls>
          <c:dLblPos val="outEnd"/>
          <c:showLegendKey val="0"/>
          <c:showVal val="1"/>
          <c:showCatName val="0"/>
          <c:showSerName val="0"/>
          <c:showPercent val="0"/>
          <c:showBubbleSize val="0"/>
        </c:dLbls>
        <c:gapWidth val="115"/>
        <c:overlap val="-20"/>
        <c:axId val="1870058575"/>
        <c:axId val="1792246063"/>
      </c:barChart>
      <c:catAx>
        <c:axId val="18700585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100"/>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2246063"/>
        <c:crosses val="autoZero"/>
        <c:auto val="1"/>
        <c:lblAlgn val="ctr"/>
        <c:lblOffset val="100"/>
        <c:noMultiLvlLbl val="0"/>
      </c:catAx>
      <c:valAx>
        <c:axId val="179224606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05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[manufacturing efficiency in downtime operation.xlsx]Dashboard!PivotTable3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Operator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0897988246285"/>
          <c:y val="0.11820280820315322"/>
          <c:w val="0.71400952474317758"/>
          <c:h val="0.59593442236205085"/>
        </c:manualLayout>
      </c:layout>
      <c:barChart>
        <c:barDir val="col"/>
        <c:grouping val="clustered"/>
        <c:varyColors val="0"/>
        <c:ser>
          <c:idx val="0"/>
          <c:order val="0"/>
          <c:tx>
            <c:strRef>
              <c:f>Dashboard!$I$16</c:f>
              <c:strCache>
                <c:ptCount val="1"/>
                <c:pt idx="0">
                  <c:v>Downtime Operator Error.</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AE-4F0E-AB62-65C22DA6C7FA}"/>
              </c:ext>
            </c:extLst>
          </c:dPt>
          <c:dLbls>
            <c:dLbl>
              <c:idx val="2"/>
              <c:delete val="1"/>
              <c:extLst>
                <c:ext xmlns:c15="http://schemas.microsoft.com/office/drawing/2012/chart" uri="{CE6537A1-D6FC-4f65-9D91-7224C49458BB}"/>
                <c:ext xmlns:c16="http://schemas.microsoft.com/office/drawing/2014/chart" uri="{C3380CC4-5D6E-409C-BE32-E72D297353CC}">
                  <c16:uniqueId val="{00000005-63AE-4F0E-AB62-65C22DA6C7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Dashboard!$H$17:$H$21</c:f>
              <c:strCache>
                <c:ptCount val="4"/>
                <c:pt idx="0">
                  <c:v>Charlie</c:v>
                </c:pt>
                <c:pt idx="1">
                  <c:v>Dee</c:v>
                </c:pt>
                <c:pt idx="2">
                  <c:v>Dennis</c:v>
                </c:pt>
                <c:pt idx="3">
                  <c:v>Mac</c:v>
                </c:pt>
              </c:strCache>
            </c:strRef>
          </c:cat>
          <c:val>
            <c:numRef>
              <c:f>Dashboard!$I$17:$I$21</c:f>
              <c:numCache>
                <c:formatCode>General</c:formatCode>
                <c:ptCount val="4"/>
                <c:pt idx="0">
                  <c:v>228</c:v>
                </c:pt>
                <c:pt idx="1">
                  <c:v>69</c:v>
                </c:pt>
                <c:pt idx="2">
                  <c:v>94</c:v>
                </c:pt>
                <c:pt idx="3">
                  <c:v>192</c:v>
                </c:pt>
              </c:numCache>
            </c:numRef>
          </c:val>
          <c:extLst>
            <c:ext xmlns:c16="http://schemas.microsoft.com/office/drawing/2014/chart" uri="{C3380CC4-5D6E-409C-BE32-E72D297353CC}">
              <c16:uniqueId val="{00000000-63AE-4F0E-AB62-65C22DA6C7FA}"/>
            </c:ext>
          </c:extLst>
        </c:ser>
        <c:ser>
          <c:idx val="1"/>
          <c:order val="1"/>
          <c:tx>
            <c:strRef>
              <c:f>Dashboard!$J$16</c:f>
              <c:strCache>
                <c:ptCount val="1"/>
                <c:pt idx="0">
                  <c:v>Downtime non Operator Error.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AE-4F0E-AB62-65C22DA6C7FA}"/>
              </c:ext>
            </c:extLst>
          </c:dPt>
          <c:dPt>
            <c:idx val="2"/>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3AE-4F0E-AB62-65C22DA6C7FA}"/>
              </c:ext>
            </c:extLst>
          </c:dPt>
          <c:dLbls>
            <c:dLbl>
              <c:idx val="1"/>
              <c:delete val="1"/>
              <c:extLst>
                <c:ext xmlns:c15="http://schemas.microsoft.com/office/drawing/2012/chart" uri="{CE6537A1-D6FC-4f65-9D91-7224C49458BB}"/>
                <c:ext xmlns:c16="http://schemas.microsoft.com/office/drawing/2014/chart" uri="{C3380CC4-5D6E-409C-BE32-E72D297353CC}">
                  <c16:uniqueId val="{00000007-63AE-4F0E-AB62-65C22DA6C7FA}"/>
                </c:ext>
              </c:extLst>
            </c:dLbl>
            <c:dLbl>
              <c:idx val="2"/>
              <c:delete val="1"/>
              <c:extLst>
                <c:ext xmlns:c15="http://schemas.microsoft.com/office/drawing/2012/chart" uri="{CE6537A1-D6FC-4f65-9D91-7224C49458BB}"/>
                <c:ext xmlns:c16="http://schemas.microsoft.com/office/drawing/2014/chart" uri="{C3380CC4-5D6E-409C-BE32-E72D297353CC}">
                  <c16:uniqueId val="{00000006-63AE-4F0E-AB62-65C22DA6C7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Dashboard!$H$17:$H$21</c:f>
              <c:strCache>
                <c:ptCount val="4"/>
                <c:pt idx="0">
                  <c:v>Charlie</c:v>
                </c:pt>
                <c:pt idx="1">
                  <c:v>Dee</c:v>
                </c:pt>
                <c:pt idx="2">
                  <c:v>Dennis</c:v>
                </c:pt>
                <c:pt idx="3">
                  <c:v>Mac</c:v>
                </c:pt>
              </c:strCache>
            </c:strRef>
          </c:cat>
          <c:val>
            <c:numRef>
              <c:f>Dashboard!$J$17:$J$21</c:f>
              <c:numCache>
                <c:formatCode>General</c:formatCode>
                <c:ptCount val="4"/>
                <c:pt idx="0">
                  <c:v>156</c:v>
                </c:pt>
                <c:pt idx="1">
                  <c:v>138</c:v>
                </c:pt>
                <c:pt idx="2">
                  <c:v>113</c:v>
                </c:pt>
                <c:pt idx="3">
                  <c:v>140</c:v>
                </c:pt>
              </c:numCache>
            </c:numRef>
          </c:val>
          <c:extLst>
            <c:ext xmlns:c16="http://schemas.microsoft.com/office/drawing/2014/chart" uri="{C3380CC4-5D6E-409C-BE32-E72D297353CC}">
              <c16:uniqueId val="{00000003-63AE-4F0E-AB62-65C22DA6C7FA}"/>
            </c:ext>
          </c:extLst>
        </c:ser>
        <c:dLbls>
          <c:showLegendKey val="0"/>
          <c:showVal val="1"/>
          <c:showCatName val="0"/>
          <c:showSerName val="0"/>
          <c:showPercent val="0"/>
          <c:showBubbleSize val="0"/>
        </c:dLbls>
        <c:gapWidth val="269"/>
        <c:axId val="1792016831"/>
        <c:axId val="1792233167"/>
      </c:barChart>
      <c:lineChart>
        <c:grouping val="standard"/>
        <c:varyColors val="0"/>
        <c:ser>
          <c:idx val="2"/>
          <c:order val="2"/>
          <c:tx>
            <c:strRef>
              <c:f>Dashboard!$K$16</c:f>
              <c:strCache>
                <c:ptCount val="1"/>
                <c:pt idx="0">
                  <c:v>Efficiency.</c:v>
                </c:pt>
              </c:strCache>
            </c:strRef>
          </c:tx>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Dashboard!$H$17:$H$21</c:f>
              <c:strCache>
                <c:ptCount val="4"/>
                <c:pt idx="0">
                  <c:v>Charlie</c:v>
                </c:pt>
                <c:pt idx="1">
                  <c:v>Dee</c:v>
                </c:pt>
                <c:pt idx="2">
                  <c:v>Dennis</c:v>
                </c:pt>
                <c:pt idx="3">
                  <c:v>Mac</c:v>
                </c:pt>
              </c:strCache>
            </c:strRef>
          </c:cat>
          <c:val>
            <c:numRef>
              <c:f>Dashboard!$K$17:$K$21</c:f>
              <c:numCache>
                <c:formatCode>0%</c:formatCode>
                <c:ptCount val="4"/>
                <c:pt idx="0">
                  <c:v>0.66839378238341962</c:v>
                </c:pt>
                <c:pt idx="1">
                  <c:v>0.66985645933014348</c:v>
                </c:pt>
                <c:pt idx="2">
                  <c:v>0.62018348623853214</c:v>
                </c:pt>
                <c:pt idx="3">
                  <c:v>0.60941176470588232</c:v>
                </c:pt>
              </c:numCache>
            </c:numRef>
          </c:val>
          <c:smooth val="0"/>
          <c:extLst>
            <c:ext xmlns:c16="http://schemas.microsoft.com/office/drawing/2014/chart" uri="{C3380CC4-5D6E-409C-BE32-E72D297353CC}">
              <c16:uniqueId val="{00000004-63AE-4F0E-AB62-65C22DA6C7FA}"/>
            </c:ext>
          </c:extLst>
        </c:ser>
        <c:dLbls>
          <c:showLegendKey val="0"/>
          <c:showVal val="0"/>
          <c:showCatName val="0"/>
          <c:showSerName val="0"/>
          <c:showPercent val="0"/>
          <c:showBubbleSize val="0"/>
        </c:dLbls>
        <c:marker val="1"/>
        <c:smooth val="0"/>
        <c:axId val="1872434383"/>
        <c:axId val="1792252303"/>
      </c:lineChart>
      <c:catAx>
        <c:axId val="17920168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operator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2233167"/>
        <c:crosses val="autoZero"/>
        <c:auto val="1"/>
        <c:lblAlgn val="ctr"/>
        <c:lblOffset val="100"/>
        <c:noMultiLvlLbl val="0"/>
      </c:catAx>
      <c:valAx>
        <c:axId val="17922331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Downtime (minutes)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2016831"/>
        <c:crosses val="autoZero"/>
        <c:crossBetween val="between"/>
      </c:valAx>
      <c:valAx>
        <c:axId val="179225230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2434383"/>
        <c:crosses val="max"/>
        <c:crossBetween val="between"/>
      </c:valAx>
      <c:catAx>
        <c:axId val="1872434383"/>
        <c:scaling>
          <c:orientation val="minMax"/>
        </c:scaling>
        <c:delete val="1"/>
        <c:axPos val="b"/>
        <c:numFmt formatCode="General" sourceLinked="1"/>
        <c:majorTickMark val="none"/>
        <c:minorTickMark val="none"/>
        <c:tickLblPos val="nextTo"/>
        <c:crossAx val="1792252303"/>
        <c:crosses val="autoZero"/>
        <c:auto val="1"/>
        <c:lblAlgn val="ctr"/>
        <c:lblOffset val="100"/>
        <c:noMultiLvlLbl val="0"/>
      </c:catAx>
      <c:spPr>
        <a:noFill/>
        <a:ln>
          <a:noFill/>
        </a:ln>
        <a:effectLst/>
      </c:spPr>
    </c:plotArea>
    <c:legend>
      <c:legendPos val="r"/>
      <c:layout>
        <c:manualLayout>
          <c:xMode val="edge"/>
          <c:yMode val="edge"/>
          <c:x val="3.4159386651258641E-4"/>
          <c:y val="0.89172545270358805"/>
          <c:w val="0.99965840613348744"/>
          <c:h val="0.10827454729641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efficiency in downtime operation.xlsx]Dashboard!PivotTable5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Downtime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81938424609759"/>
          <c:y val="0.11078405679158793"/>
          <c:w val="0.68439063867016625"/>
          <c:h val="0.74915135608048999"/>
        </c:manualLayout>
      </c:layout>
      <c:barChart>
        <c:barDir val="bar"/>
        <c:grouping val="clustered"/>
        <c:varyColors val="0"/>
        <c:ser>
          <c:idx val="0"/>
          <c:order val="0"/>
          <c:tx>
            <c:strRef>
              <c:f>Dashboard!$Q$14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B3D-4116-A0D5-79162A6BA435}"/>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B3D-4116-A0D5-79162A6BA435}"/>
              </c:ext>
            </c:extLst>
          </c:dPt>
          <c:dLbls>
            <c:dLbl>
              <c:idx val="2"/>
              <c:delete val="1"/>
              <c:extLst>
                <c:ext xmlns:c15="http://schemas.microsoft.com/office/drawing/2012/chart" uri="{CE6537A1-D6FC-4f65-9D91-7224C49458BB}"/>
                <c:ext xmlns:c16="http://schemas.microsoft.com/office/drawing/2014/chart" uri="{C3380CC4-5D6E-409C-BE32-E72D297353CC}">
                  <c16:uniqueId val="{00000003-2B3D-4116-A0D5-79162A6BA435}"/>
                </c:ext>
              </c:extLst>
            </c:dLbl>
            <c:dLbl>
              <c:idx val="7"/>
              <c:delete val="1"/>
              <c:extLst>
                <c:ext xmlns:c15="http://schemas.microsoft.com/office/drawing/2012/chart" uri="{CE6537A1-D6FC-4f65-9D91-7224C49458BB}"/>
                <c:ext xmlns:c16="http://schemas.microsoft.com/office/drawing/2014/chart" uri="{C3380CC4-5D6E-409C-BE32-E72D297353CC}">
                  <c16:uniqueId val="{00000002-2B3D-4116-A0D5-79162A6BA4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Dashboard!$P$15:$P$26</c:f>
              <c:strCache>
                <c:ptCount val="12"/>
                <c:pt idx="0">
                  <c:v>Machine Failure.</c:v>
                </c:pt>
                <c:pt idx="1">
                  <c:v>Inventory Shortage.</c:v>
                </c:pt>
                <c:pt idx="2">
                  <c:v>Machine Adjustment.</c:v>
                </c:pt>
                <c:pt idx="3">
                  <c:v>Batch Change.</c:v>
                </c:pt>
                <c:pt idx="4">
                  <c:v>Batch Coding Error.</c:v>
                </c:pt>
                <c:pt idx="5">
                  <c:v>Other.</c:v>
                </c:pt>
                <c:pt idx="6">
                  <c:v>Product Spill.</c:v>
                </c:pt>
                <c:pt idx="7">
                  <c:v>Calibration Error.</c:v>
                </c:pt>
                <c:pt idx="8">
                  <c:v>Labeling Error.</c:v>
                </c:pt>
                <c:pt idx="9">
                  <c:v>Label Switch.</c:v>
                </c:pt>
                <c:pt idx="10">
                  <c:v>Conveyor Belt Jam.</c:v>
                </c:pt>
                <c:pt idx="11">
                  <c:v>Emergency Stop.</c:v>
                </c:pt>
              </c:strCache>
            </c:strRef>
          </c:cat>
          <c:val>
            <c:numRef>
              <c:f>Dashboard!$Q$15:$Q$26</c:f>
              <c:numCache>
                <c:formatCode>_(* #,##0_);_(* \(#,##0\);_(* "-"??_);_(@_)</c:formatCode>
                <c:ptCount val="12"/>
                <c:pt idx="0">
                  <c:v>236</c:v>
                </c:pt>
                <c:pt idx="1">
                  <c:v>205</c:v>
                </c:pt>
                <c:pt idx="2">
                  <c:v>197</c:v>
                </c:pt>
                <c:pt idx="3">
                  <c:v>160</c:v>
                </c:pt>
                <c:pt idx="4">
                  <c:v>115</c:v>
                </c:pt>
                <c:pt idx="5">
                  <c:v>67</c:v>
                </c:pt>
                <c:pt idx="6">
                  <c:v>57</c:v>
                </c:pt>
                <c:pt idx="7">
                  <c:v>34</c:v>
                </c:pt>
                <c:pt idx="8">
                  <c:v>22</c:v>
                </c:pt>
                <c:pt idx="9">
                  <c:v>20</c:v>
                </c:pt>
                <c:pt idx="10">
                  <c:v>17</c:v>
                </c:pt>
                <c:pt idx="11">
                  <c:v>0</c:v>
                </c:pt>
              </c:numCache>
            </c:numRef>
          </c:val>
          <c:extLst>
            <c:ext xmlns:c16="http://schemas.microsoft.com/office/drawing/2014/chart" uri="{C3380CC4-5D6E-409C-BE32-E72D297353CC}">
              <c16:uniqueId val="{00000000-2B3D-4116-A0D5-79162A6BA435}"/>
            </c:ext>
          </c:extLst>
        </c:ser>
        <c:dLbls>
          <c:showLegendKey val="0"/>
          <c:showVal val="1"/>
          <c:showCatName val="0"/>
          <c:showSerName val="0"/>
          <c:showPercent val="0"/>
          <c:showBubbleSize val="0"/>
        </c:dLbls>
        <c:gapWidth val="75"/>
        <c:axId val="1883498175"/>
        <c:axId val="1871647087"/>
      </c:barChart>
      <c:catAx>
        <c:axId val="18834981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downtime</a:t>
                </a:r>
                <a:r>
                  <a:rPr lang="en-US" baseline="0"/>
                  <a:t> factors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647087"/>
        <c:crosses val="autoZero"/>
        <c:auto val="1"/>
        <c:lblAlgn val="ctr"/>
        <c:lblOffset val="100"/>
        <c:noMultiLvlLbl val="0"/>
      </c:catAx>
      <c:valAx>
        <c:axId val="18716470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time (minutes)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4981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19048</xdr:colOff>
      <xdr:row>10</xdr:row>
      <xdr:rowOff>28577</xdr:rowOff>
    </xdr:from>
    <xdr:to>
      <xdr:col>5</xdr:col>
      <xdr:colOff>504825</xdr:colOff>
      <xdr:row>13</xdr:row>
      <xdr:rowOff>171450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CCD42EA9-A28C-49FB-B5D2-23B36C31BC7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65855" y="1914716"/>
              <a:ext cx="3258401" cy="708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8671</xdr:colOff>
      <xdr:row>10</xdr:row>
      <xdr:rowOff>7508</xdr:rowOff>
    </xdr:from>
    <xdr:to>
      <xdr:col>10</xdr:col>
      <xdr:colOff>373787</xdr:colOff>
      <xdr:row>13</xdr:row>
      <xdr:rowOff>126152</xdr:rowOff>
    </xdr:to>
    <mc:AlternateContent xmlns:mc="http://schemas.openxmlformats.org/markup-compatibility/2006" xmlns:a14="http://schemas.microsoft.com/office/drawing/2010/main">
      <mc:Choice Requires="a14">
        <xdr:graphicFrame macro="">
          <xdr:nvGraphicFramePr>
            <xdr:cNvPr id="3" name="Operator">
              <a:extLst>
                <a:ext uri="{FF2B5EF4-FFF2-40B4-BE49-F238E27FC236}">
                  <a16:creationId xmlns:a16="http://schemas.microsoft.com/office/drawing/2014/main" id="{A1CB33BD-161B-4088-BFF9-9039D08CAF93}"/>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5214414" y="1893647"/>
              <a:ext cx="2732220" cy="684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942974</xdr:colOff>
      <xdr:row>14</xdr:row>
      <xdr:rowOff>142875</xdr:rowOff>
    </xdr:from>
    <xdr:to>
      <xdr:col>6</xdr:col>
      <xdr:colOff>4290</xdr:colOff>
      <xdr:row>26</xdr:row>
      <xdr:rowOff>71437</xdr:rowOff>
    </xdr:to>
    <xdr:graphicFrame macro="">
      <xdr:nvGraphicFramePr>
        <xdr:cNvPr id="8" name="Chart 7">
          <a:extLst>
            <a:ext uri="{FF2B5EF4-FFF2-40B4-BE49-F238E27FC236}">
              <a16:creationId xmlns:a16="http://schemas.microsoft.com/office/drawing/2014/main" id="{FE440EDD-8F49-4313-BBA6-E0EB289F5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310766</xdr:colOff>
      <xdr:row>14</xdr:row>
      <xdr:rowOff>142256</xdr:rowOff>
    </xdr:from>
    <xdr:to>
      <xdr:col>12</xdr:col>
      <xdr:colOff>237368</xdr:colOff>
      <xdr:row>26</xdr:row>
      <xdr:rowOff>74807</xdr:rowOff>
    </xdr:to>
    <xdr:graphicFrame macro="">
      <xdr:nvGraphicFramePr>
        <xdr:cNvPr id="9" name="Chart 8">
          <a:extLst>
            <a:ext uri="{FF2B5EF4-FFF2-40B4-BE49-F238E27FC236}">
              <a16:creationId xmlns:a16="http://schemas.microsoft.com/office/drawing/2014/main" id="{8AD66195-DB76-486B-8C46-9B115AA0A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231994</xdr:colOff>
      <xdr:row>10</xdr:row>
      <xdr:rowOff>151453</xdr:rowOff>
    </xdr:from>
    <xdr:to>
      <xdr:col>18</xdr:col>
      <xdr:colOff>103738</xdr:colOff>
      <xdr:row>27</xdr:row>
      <xdr:rowOff>18859</xdr:rowOff>
    </xdr:to>
    <xdr:graphicFrame macro="">
      <xdr:nvGraphicFramePr>
        <xdr:cNvPr id="12" name="Chart 11">
          <a:extLst>
            <a:ext uri="{FF2B5EF4-FFF2-40B4-BE49-F238E27FC236}">
              <a16:creationId xmlns:a16="http://schemas.microsoft.com/office/drawing/2014/main" id="{E1114A04-6BE9-48E8-B9BA-FC6A5A964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PC" refreshedDate="46097.482113773149" createdVersion="6" refreshedVersion="6" minRefreshableVersion="3" recordCount="31" xr:uid="{852B16EE-A6CE-4D11-A615-7B4FF184CC23}">
  <cacheSource type="worksheet">
    <worksheetSource name="line_productivity7"/>
  </cacheSource>
  <cacheFields count="24">
    <cacheField name="Date" numFmtId="14">
      <sharedItems containsSemiMixedTypes="0" containsNonDate="0" containsDate="1" containsString="0" minDate="2024-08-29T00:00:00" maxDate="2024-09-04T00:00:00"/>
    </cacheField>
    <cacheField name="Product" numFmtId="0">
      <sharedItems count="5">
        <s v="OR-600"/>
        <s v="LE-600"/>
        <s v="CO-600"/>
        <s v="DC-600"/>
        <s v="CO-2L"/>
      </sharedItems>
    </cacheField>
    <cacheField name="Batch" numFmtId="0">
      <sharedItems containsSemiMixedTypes="0" containsString="0" containsNumber="1" containsInteger="1" minValue="422111" maxValue="422148"/>
    </cacheField>
    <cacheField name="Operator" numFmtId="0">
      <sharedItems count="4">
        <s v="Mac"/>
        <s v="Charlie"/>
        <s v="Dee"/>
        <s v="Dennis"/>
      </sharedItems>
    </cacheField>
    <cacheField name="Start Time" numFmtId="20">
      <sharedItems containsSemiMixedTypes="0" containsNonDate="0" containsDate="1" containsString="0" minDate="1899-12-30T04:05:00" maxDate="1899-12-30T22:55:00"/>
    </cacheField>
    <cacheField name="End Time" numFmtId="20">
      <sharedItems/>
    </cacheField>
    <cacheField name="Emergency Stop" numFmtId="0">
      <sharedItems containsSemiMixedTypes="0" containsString="0" containsNumber="1" containsInteger="1" minValue="0" maxValue="0" count="1">
        <n v="0"/>
      </sharedItems>
    </cacheField>
    <cacheField name="Batch Change" numFmtId="0">
      <sharedItems containsSemiMixedTypes="0" containsString="0" containsNumber="1" containsInteger="1" minValue="0" maxValue="60" count="5">
        <n v="60"/>
        <n v="20"/>
        <n v="50"/>
        <n v="0"/>
        <n v="10"/>
      </sharedItems>
    </cacheField>
    <cacheField name="Labeling Error" numFmtId="0">
      <sharedItems containsSemiMixedTypes="0" containsString="0" containsNumber="1" containsInteger="1" minValue="0" maxValue="22" count="2">
        <n v="0"/>
        <n v="22"/>
      </sharedItems>
    </cacheField>
    <cacheField name="Inventory Shortage" numFmtId="0">
      <sharedItems containsSemiMixedTypes="0" containsString="0" containsNumber="1" containsInteger="1" minValue="0" maxValue="43" count="6">
        <n v="0"/>
        <n v="25"/>
        <n v="20"/>
        <n v="43"/>
        <n v="30"/>
        <n v="17"/>
      </sharedItems>
    </cacheField>
    <cacheField name="Product Spill" numFmtId="0">
      <sharedItems containsSemiMixedTypes="0" containsString="0" containsNumber="1" containsInteger="1" minValue="0" maxValue="22" count="4">
        <n v="0"/>
        <n v="15"/>
        <n v="20"/>
        <n v="22"/>
      </sharedItems>
    </cacheField>
    <cacheField name="Machine Adjustment" numFmtId="0">
      <sharedItems containsSemiMixedTypes="0" containsString="0" containsNumber="1" containsInteger="1" minValue="0" maxValue="60" count="8">
        <n v="0"/>
        <n v="15"/>
        <n v="5"/>
        <n v="14"/>
        <n v="20"/>
        <n v="23"/>
        <n v="30"/>
        <n v="60"/>
      </sharedItems>
    </cacheField>
    <cacheField name="Machine Failure" numFmtId="0">
      <sharedItems containsSemiMixedTypes="0" containsString="0" containsNumber="1" containsInteger="1" minValue="0" maxValue="30" count="6">
        <n v="15"/>
        <n v="0"/>
        <n v="16"/>
        <n v="25"/>
        <n v="30"/>
        <n v="20"/>
      </sharedItems>
    </cacheField>
    <cacheField name="Batch Coding Error" numFmtId="0">
      <sharedItems containsSemiMixedTypes="0" containsString="0" containsNumber="1" containsInteger="1" minValue="0" maxValue="44" count="5">
        <n v="0"/>
        <n v="20"/>
        <n v="44"/>
        <n v="24"/>
        <n v="7"/>
      </sharedItems>
    </cacheField>
    <cacheField name="Conveyor Belt Jam" numFmtId="0">
      <sharedItems containsSemiMixedTypes="0" containsString="0" containsNumber="1" containsInteger="1" minValue="0" maxValue="17" count="2">
        <n v="0"/>
        <n v="17"/>
      </sharedItems>
    </cacheField>
    <cacheField name="Calibration Error" numFmtId="0">
      <sharedItems containsSemiMixedTypes="0" containsString="0" containsNumber="1" containsInteger="1" minValue="0" maxValue="24" count="3">
        <n v="0"/>
        <n v="24"/>
        <n v="10"/>
      </sharedItems>
    </cacheField>
    <cacheField name="Label Switch" numFmtId="0">
      <sharedItems containsSemiMixedTypes="0" containsString="0" containsNumber="1" containsInteger="1" minValue="0" maxValue="10" count="2">
        <n v="0"/>
        <n v="10"/>
      </sharedItems>
    </cacheField>
    <cacheField name="Other" numFmtId="0">
      <sharedItems containsSemiMixedTypes="0" containsString="0" containsNumber="1" containsInteger="1" minValue="0" maxValue="20" count="5">
        <n v="0"/>
        <n v="20"/>
        <n v="10"/>
        <n v="15"/>
        <n v="7"/>
      </sharedItems>
    </cacheField>
    <cacheField name="Downtime Operator Error" numFmtId="0">
      <sharedItems containsSemiMixedTypes="0" containsString="0" containsNumber="1" containsInteger="1" minValue="0" maxValue="60"/>
    </cacheField>
    <cacheField name="Downtime non Operator Error" numFmtId="0">
      <sharedItems containsSemiMixedTypes="0" containsString="0" containsNumber="1" containsInteger="1" minValue="0" maxValue="73"/>
    </cacheField>
    <cacheField name="TD" numFmtId="0">
      <sharedItems containsSemiMixedTypes="0" containsString="0" containsNumber="1" containsInteger="1" minValue="0" maxValue="107"/>
    </cacheField>
    <cacheField name="PT" numFmtId="0">
      <sharedItems containsSemiMixedTypes="0" containsString="0" containsNumber="1" minValue="59.999999999999787" maxValue="205.00000000000006"/>
    </cacheField>
    <cacheField name="NT" numFmtId="0">
      <sharedItems containsSemiMixedTypes="0" containsString="0" containsNumber="1" minValue="59.999999999999787" maxValue="98.000000000000114"/>
    </cacheField>
    <cacheField name="Efficiency" numFmtId="0" formula="NT/PT" databaseField="0"/>
  </cacheFields>
  <extLst>
    <ext xmlns:x14="http://schemas.microsoft.com/office/spreadsheetml/2009/9/main" uri="{725AE2AE-9491-48be-B2B4-4EB974FC3084}">
      <x14:pivotCacheDefinition pivotCacheId="523027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d v="2024-08-29T00:00:00"/>
    <x v="0"/>
    <n v="422111"/>
    <x v="0"/>
    <d v="1899-12-30T11:50:00"/>
    <s v="14:05:00"/>
    <x v="0"/>
    <x v="0"/>
    <x v="0"/>
    <x v="0"/>
    <x v="0"/>
    <x v="0"/>
    <x v="0"/>
    <x v="0"/>
    <x v="0"/>
    <x v="0"/>
    <x v="0"/>
    <x v="0"/>
    <n v="60"/>
    <n v="15"/>
    <n v="75"/>
    <n v="135"/>
    <n v="60"/>
  </r>
  <r>
    <d v="2024-08-29T00:00:00"/>
    <x v="1"/>
    <n v="422112"/>
    <x v="0"/>
    <d v="1899-12-30T14:05:00"/>
    <s v="15:45:00"/>
    <x v="0"/>
    <x v="1"/>
    <x v="0"/>
    <x v="0"/>
    <x v="0"/>
    <x v="0"/>
    <x v="1"/>
    <x v="1"/>
    <x v="0"/>
    <x v="0"/>
    <x v="0"/>
    <x v="0"/>
    <n v="40"/>
    <n v="0"/>
    <n v="40"/>
    <n v="99.999999999999972"/>
    <n v="59.999999999999972"/>
  </r>
  <r>
    <d v="2024-08-29T00:00:00"/>
    <x v="1"/>
    <n v="422113"/>
    <x v="0"/>
    <d v="1899-12-30T15:45:00"/>
    <s v="17:35:00"/>
    <x v="0"/>
    <x v="2"/>
    <x v="0"/>
    <x v="0"/>
    <x v="0"/>
    <x v="0"/>
    <x v="1"/>
    <x v="0"/>
    <x v="0"/>
    <x v="0"/>
    <x v="0"/>
    <x v="0"/>
    <n v="50"/>
    <n v="0"/>
    <n v="50"/>
    <n v="109.99999999999993"/>
    <n v="59.999999999999929"/>
  </r>
  <r>
    <d v="2024-08-29T00:00:00"/>
    <x v="1"/>
    <n v="422114"/>
    <x v="0"/>
    <d v="1899-12-30T17:35:00"/>
    <s v="19:15:00"/>
    <x v="0"/>
    <x v="3"/>
    <x v="0"/>
    <x v="1"/>
    <x v="0"/>
    <x v="1"/>
    <x v="1"/>
    <x v="0"/>
    <x v="0"/>
    <x v="0"/>
    <x v="0"/>
    <x v="0"/>
    <n v="15"/>
    <n v="25"/>
    <n v="40"/>
    <n v="100.00000000000013"/>
    <n v="60.000000000000128"/>
  </r>
  <r>
    <d v="2024-08-29T00:00:00"/>
    <x v="1"/>
    <n v="422115"/>
    <x v="1"/>
    <d v="1899-12-30T19:15:00"/>
    <s v="20:39:00"/>
    <x v="0"/>
    <x v="3"/>
    <x v="0"/>
    <x v="0"/>
    <x v="0"/>
    <x v="0"/>
    <x v="1"/>
    <x v="0"/>
    <x v="0"/>
    <x v="1"/>
    <x v="0"/>
    <x v="0"/>
    <n v="24"/>
    <n v="0"/>
    <n v="24"/>
    <n v="83.999999999999858"/>
    <n v="59.999999999999858"/>
  </r>
  <r>
    <d v="2024-08-29T00:00:00"/>
    <x v="1"/>
    <n v="422116"/>
    <x v="1"/>
    <d v="1899-12-30T20:39:00"/>
    <s v="21:39:00"/>
    <x v="0"/>
    <x v="3"/>
    <x v="0"/>
    <x v="0"/>
    <x v="0"/>
    <x v="0"/>
    <x v="1"/>
    <x v="0"/>
    <x v="0"/>
    <x v="0"/>
    <x v="0"/>
    <x v="0"/>
    <n v="0"/>
    <n v="0"/>
    <n v="0"/>
    <n v="59.999999999999787"/>
    <n v="59.999999999999787"/>
  </r>
  <r>
    <d v="2024-08-29T00:00:00"/>
    <x v="1"/>
    <n v="422117"/>
    <x v="1"/>
    <d v="1899-12-30T21:39:00"/>
    <s v="22:54:00"/>
    <x v="0"/>
    <x v="4"/>
    <x v="0"/>
    <x v="0"/>
    <x v="0"/>
    <x v="2"/>
    <x v="1"/>
    <x v="0"/>
    <x v="0"/>
    <x v="0"/>
    <x v="0"/>
    <x v="0"/>
    <n v="15"/>
    <n v="0"/>
    <n v="15"/>
    <n v="74.999999999999886"/>
    <n v="59.999999999999886"/>
  </r>
  <r>
    <d v="2024-08-30T00:00:00"/>
    <x v="2"/>
    <n v="422118"/>
    <x v="2"/>
    <d v="1899-12-30T04:05:00"/>
    <s v="06:05:00"/>
    <x v="0"/>
    <x v="3"/>
    <x v="0"/>
    <x v="0"/>
    <x v="0"/>
    <x v="3"/>
    <x v="2"/>
    <x v="0"/>
    <x v="0"/>
    <x v="0"/>
    <x v="1"/>
    <x v="1"/>
    <n v="24"/>
    <n v="36"/>
    <n v="60"/>
    <n v="119.99999999999997"/>
    <n v="59.999999999999972"/>
  </r>
  <r>
    <d v="2024-08-30T00:00:00"/>
    <x v="2"/>
    <n v="422119"/>
    <x v="2"/>
    <d v="1899-12-30T06:05:00"/>
    <s v="07:30:00"/>
    <x v="0"/>
    <x v="3"/>
    <x v="0"/>
    <x v="1"/>
    <x v="0"/>
    <x v="0"/>
    <x v="1"/>
    <x v="0"/>
    <x v="0"/>
    <x v="0"/>
    <x v="0"/>
    <x v="0"/>
    <n v="0"/>
    <n v="25"/>
    <n v="25"/>
    <n v="85.000000000000014"/>
    <n v="60.000000000000014"/>
  </r>
  <r>
    <d v="2024-08-30T00:00:00"/>
    <x v="2"/>
    <n v="422120"/>
    <x v="2"/>
    <d v="1899-12-30T07:30:00"/>
    <s v="09:22:00"/>
    <x v="0"/>
    <x v="3"/>
    <x v="0"/>
    <x v="2"/>
    <x v="1"/>
    <x v="0"/>
    <x v="1"/>
    <x v="0"/>
    <x v="1"/>
    <x v="0"/>
    <x v="0"/>
    <x v="0"/>
    <n v="15"/>
    <n v="37"/>
    <n v="52"/>
    <n v="112"/>
    <n v="60"/>
  </r>
  <r>
    <d v="2024-08-30T00:00:00"/>
    <x v="2"/>
    <n v="422121"/>
    <x v="3"/>
    <d v="1899-12-30T09:22:00"/>
    <s v="10:37:00"/>
    <x v="0"/>
    <x v="3"/>
    <x v="0"/>
    <x v="0"/>
    <x v="0"/>
    <x v="0"/>
    <x v="0"/>
    <x v="0"/>
    <x v="0"/>
    <x v="0"/>
    <x v="0"/>
    <x v="0"/>
    <n v="0"/>
    <n v="15"/>
    <n v="15"/>
    <n v="75.000000000000057"/>
    <n v="60.000000000000057"/>
  </r>
  <r>
    <d v="2024-08-30T00:00:00"/>
    <x v="2"/>
    <n v="422122"/>
    <x v="3"/>
    <d v="1899-12-30T10:37:00"/>
    <s v="12:02:00"/>
    <x v="0"/>
    <x v="3"/>
    <x v="0"/>
    <x v="0"/>
    <x v="0"/>
    <x v="0"/>
    <x v="3"/>
    <x v="0"/>
    <x v="0"/>
    <x v="0"/>
    <x v="0"/>
    <x v="0"/>
    <n v="0"/>
    <n v="25"/>
    <n v="25"/>
    <n v="85.000000000000014"/>
    <n v="60.000000000000014"/>
  </r>
  <r>
    <d v="2024-08-30T00:00:00"/>
    <x v="2"/>
    <n v="422123"/>
    <x v="3"/>
    <d v="1899-12-30T12:02:00"/>
    <s v="14:15:00"/>
    <x v="0"/>
    <x v="3"/>
    <x v="0"/>
    <x v="3"/>
    <x v="0"/>
    <x v="0"/>
    <x v="4"/>
    <x v="0"/>
    <x v="0"/>
    <x v="0"/>
    <x v="0"/>
    <x v="0"/>
    <n v="0"/>
    <n v="73"/>
    <n v="73"/>
    <n v="133"/>
    <n v="60"/>
  </r>
  <r>
    <d v="2024-08-30T00:00:00"/>
    <x v="2"/>
    <n v="422124"/>
    <x v="3"/>
    <d v="1899-12-30T14:15:00"/>
    <s v="15:55:00"/>
    <x v="0"/>
    <x v="3"/>
    <x v="0"/>
    <x v="0"/>
    <x v="2"/>
    <x v="4"/>
    <x v="1"/>
    <x v="0"/>
    <x v="0"/>
    <x v="0"/>
    <x v="0"/>
    <x v="0"/>
    <n v="40"/>
    <n v="0"/>
    <n v="40"/>
    <n v="99.999999999999972"/>
    <n v="59.999999999999972"/>
  </r>
  <r>
    <d v="2024-08-30T00:00:00"/>
    <x v="2"/>
    <n v="422125"/>
    <x v="1"/>
    <d v="1899-12-30T15:55:00"/>
    <s v="17:15:00"/>
    <x v="0"/>
    <x v="3"/>
    <x v="0"/>
    <x v="0"/>
    <x v="0"/>
    <x v="0"/>
    <x v="1"/>
    <x v="0"/>
    <x v="0"/>
    <x v="0"/>
    <x v="1"/>
    <x v="2"/>
    <n v="10"/>
    <n v="10"/>
    <n v="20"/>
    <n v="80.000000000000028"/>
    <n v="60.000000000000028"/>
  </r>
  <r>
    <d v="2024-08-30T00:00:00"/>
    <x v="2"/>
    <n v="422126"/>
    <x v="1"/>
    <d v="1899-12-30T17:15:00"/>
    <s v="18:59:00"/>
    <x v="0"/>
    <x v="3"/>
    <x v="0"/>
    <x v="0"/>
    <x v="0"/>
    <x v="0"/>
    <x v="1"/>
    <x v="2"/>
    <x v="0"/>
    <x v="0"/>
    <x v="0"/>
    <x v="0"/>
    <n v="44"/>
    <n v="0"/>
    <n v="44"/>
    <n v="104.00000000000011"/>
    <n v="60.000000000000114"/>
  </r>
  <r>
    <d v="2024-08-30T00:00:00"/>
    <x v="2"/>
    <n v="422127"/>
    <x v="1"/>
    <d v="1899-12-30T18:59:00"/>
    <s v="20:22:00"/>
    <x v="0"/>
    <x v="3"/>
    <x v="0"/>
    <x v="0"/>
    <x v="0"/>
    <x v="5"/>
    <x v="1"/>
    <x v="0"/>
    <x v="0"/>
    <x v="0"/>
    <x v="0"/>
    <x v="0"/>
    <n v="23"/>
    <n v="0"/>
    <n v="23"/>
    <n v="83.000000000000028"/>
    <n v="60.000000000000028"/>
  </r>
  <r>
    <d v="2024-08-30T00:00:00"/>
    <x v="2"/>
    <n v="422128"/>
    <x v="1"/>
    <d v="1899-12-30T20:22:00"/>
    <s v="22:14:00"/>
    <x v="0"/>
    <x v="3"/>
    <x v="0"/>
    <x v="0"/>
    <x v="3"/>
    <x v="0"/>
    <x v="4"/>
    <x v="0"/>
    <x v="0"/>
    <x v="0"/>
    <x v="0"/>
    <x v="0"/>
    <n v="22"/>
    <n v="30"/>
    <n v="52"/>
    <n v="112.00000000000009"/>
    <n v="60.000000000000085"/>
  </r>
  <r>
    <d v="2024-08-30T00:00:00"/>
    <x v="2"/>
    <n v="422129"/>
    <x v="1"/>
    <d v="1899-12-30T22:14:00"/>
    <s v="23:29:00"/>
    <x v="0"/>
    <x v="3"/>
    <x v="0"/>
    <x v="0"/>
    <x v="0"/>
    <x v="0"/>
    <x v="1"/>
    <x v="0"/>
    <x v="0"/>
    <x v="0"/>
    <x v="0"/>
    <x v="3"/>
    <n v="0"/>
    <n v="15"/>
    <n v="15"/>
    <n v="75.000000000000057"/>
    <n v="60.000000000000057"/>
  </r>
  <r>
    <d v="2024-08-31T00:00:00"/>
    <x v="2"/>
    <n v="422130"/>
    <x v="2"/>
    <d v="1899-12-30T07:45:00"/>
    <s v="09:05:00"/>
    <x v="0"/>
    <x v="1"/>
    <x v="0"/>
    <x v="0"/>
    <x v="0"/>
    <x v="0"/>
    <x v="1"/>
    <x v="0"/>
    <x v="0"/>
    <x v="0"/>
    <x v="0"/>
    <x v="0"/>
    <n v="20"/>
    <n v="0"/>
    <n v="20"/>
    <n v="80.000000000000028"/>
    <n v="60.000000000000028"/>
  </r>
  <r>
    <d v="2024-08-31T00:00:00"/>
    <x v="2"/>
    <n v="422131"/>
    <x v="2"/>
    <d v="1899-12-30T09:05:00"/>
    <s v="10:35:00"/>
    <x v="0"/>
    <x v="3"/>
    <x v="0"/>
    <x v="2"/>
    <x v="0"/>
    <x v="0"/>
    <x v="1"/>
    <x v="0"/>
    <x v="0"/>
    <x v="2"/>
    <x v="0"/>
    <x v="0"/>
    <n v="10"/>
    <n v="20"/>
    <n v="30"/>
    <n v="90.000000000000085"/>
    <n v="60.000000000000085"/>
  </r>
  <r>
    <d v="2024-08-31T00:00:00"/>
    <x v="2"/>
    <n v="422132"/>
    <x v="2"/>
    <d v="1899-12-30T10:35:00"/>
    <s v="11:35:00"/>
    <x v="0"/>
    <x v="3"/>
    <x v="0"/>
    <x v="0"/>
    <x v="0"/>
    <x v="0"/>
    <x v="1"/>
    <x v="0"/>
    <x v="0"/>
    <x v="0"/>
    <x v="0"/>
    <x v="0"/>
    <n v="0"/>
    <n v="0"/>
    <n v="0"/>
    <n v="60.000000000000028"/>
    <n v="60.000000000000028"/>
  </r>
  <r>
    <d v="2024-08-31T00:00:00"/>
    <x v="3"/>
    <n v="422133"/>
    <x v="2"/>
    <d v="1899-12-30T11:35:00"/>
    <s v="12:55:00"/>
    <x v="0"/>
    <x v="3"/>
    <x v="0"/>
    <x v="0"/>
    <x v="0"/>
    <x v="0"/>
    <x v="5"/>
    <x v="0"/>
    <x v="0"/>
    <x v="0"/>
    <x v="0"/>
    <x v="0"/>
    <n v="0"/>
    <n v="20"/>
    <n v="20"/>
    <n v="79.999999999999957"/>
    <n v="59.999999999999957"/>
  </r>
  <r>
    <d v="2024-08-31T00:00:00"/>
    <x v="3"/>
    <n v="422134"/>
    <x v="0"/>
    <d v="1899-12-30T12:55:00"/>
    <s v="14:45:00"/>
    <x v="0"/>
    <x v="3"/>
    <x v="0"/>
    <x v="0"/>
    <x v="0"/>
    <x v="0"/>
    <x v="4"/>
    <x v="1"/>
    <x v="0"/>
    <x v="0"/>
    <x v="0"/>
    <x v="0"/>
    <n v="20"/>
    <n v="30"/>
    <n v="50"/>
    <n v="110.00000000000009"/>
    <n v="60.000000000000085"/>
  </r>
  <r>
    <d v="2024-08-31T00:00:00"/>
    <x v="3"/>
    <n v="422135"/>
    <x v="0"/>
    <d v="1899-12-30T14:45:00"/>
    <s v="16:30:00"/>
    <x v="0"/>
    <x v="3"/>
    <x v="0"/>
    <x v="4"/>
    <x v="0"/>
    <x v="0"/>
    <x v="1"/>
    <x v="0"/>
    <x v="0"/>
    <x v="0"/>
    <x v="0"/>
    <x v="3"/>
    <n v="0"/>
    <n v="45"/>
    <n v="45"/>
    <n v="104.99999999999994"/>
    <n v="59.999999999999943"/>
  </r>
  <r>
    <d v="2024-08-31T00:00:00"/>
    <x v="3"/>
    <n v="422136"/>
    <x v="0"/>
    <d v="1899-12-30T16:30:00"/>
    <s v="17:30:00"/>
    <x v="0"/>
    <x v="3"/>
    <x v="0"/>
    <x v="0"/>
    <x v="0"/>
    <x v="0"/>
    <x v="1"/>
    <x v="0"/>
    <x v="0"/>
    <x v="0"/>
    <x v="0"/>
    <x v="0"/>
    <n v="0"/>
    <n v="0"/>
    <n v="0"/>
    <n v="59.999999999999943"/>
    <n v="59.999999999999943"/>
  </r>
  <r>
    <d v="2024-09-02T00:00:00"/>
    <x v="4"/>
    <n v="422144"/>
    <x v="3"/>
    <d v="1899-12-30T12:18:00"/>
    <s v="14:50:00"/>
    <x v="0"/>
    <x v="3"/>
    <x v="0"/>
    <x v="0"/>
    <x v="0"/>
    <x v="6"/>
    <x v="1"/>
    <x v="3"/>
    <x v="0"/>
    <x v="0"/>
    <x v="0"/>
    <x v="0"/>
    <n v="54"/>
    <n v="0"/>
    <n v="54"/>
    <n v="152.00000000000011"/>
    <n v="98.000000000000114"/>
  </r>
  <r>
    <d v="2024-09-02T00:00:00"/>
    <x v="4"/>
    <n v="422145"/>
    <x v="1"/>
    <d v="1899-12-30T14:50:00"/>
    <s v="16:50:00"/>
    <x v="0"/>
    <x v="3"/>
    <x v="1"/>
    <x v="0"/>
    <x v="0"/>
    <x v="0"/>
    <x v="1"/>
    <x v="0"/>
    <x v="0"/>
    <x v="0"/>
    <x v="0"/>
    <x v="0"/>
    <n v="0"/>
    <n v="22"/>
    <n v="22"/>
    <n v="119.99999999999989"/>
    <n v="97.999999999999886"/>
  </r>
  <r>
    <d v="2024-09-02T00:00:00"/>
    <x v="4"/>
    <n v="422146"/>
    <x v="1"/>
    <d v="1899-12-30T16:50:00"/>
    <s v="19:30:00"/>
    <x v="0"/>
    <x v="3"/>
    <x v="0"/>
    <x v="0"/>
    <x v="0"/>
    <x v="6"/>
    <x v="3"/>
    <x v="0"/>
    <x v="0"/>
    <x v="0"/>
    <x v="0"/>
    <x v="4"/>
    <n v="30"/>
    <n v="32"/>
    <n v="62"/>
    <n v="160.00000000000006"/>
    <n v="98.000000000000057"/>
  </r>
  <r>
    <d v="2024-09-02T00:00:00"/>
    <x v="4"/>
    <n v="422147"/>
    <x v="1"/>
    <d v="1899-12-30T19:30:00"/>
    <s v="22:55:00"/>
    <x v="0"/>
    <x v="3"/>
    <x v="0"/>
    <x v="5"/>
    <x v="0"/>
    <x v="7"/>
    <x v="4"/>
    <x v="0"/>
    <x v="0"/>
    <x v="0"/>
    <x v="0"/>
    <x v="0"/>
    <n v="60"/>
    <n v="47"/>
    <n v="107"/>
    <n v="205.00000000000006"/>
    <n v="98.000000000000057"/>
  </r>
  <r>
    <d v="2024-09-03T00:00:00"/>
    <x v="4"/>
    <n v="422148"/>
    <x v="0"/>
    <d v="1899-12-30T22:55:00"/>
    <s v="1900-01-01 01:05:00"/>
    <x v="0"/>
    <x v="3"/>
    <x v="0"/>
    <x v="1"/>
    <x v="0"/>
    <x v="0"/>
    <x v="1"/>
    <x v="4"/>
    <x v="0"/>
    <x v="0"/>
    <x v="0"/>
    <x v="0"/>
    <n v="7"/>
    <n v="25"/>
    <n v="32"/>
    <n v="129.99999999999986"/>
    <n v="97.9999999999998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28F18A-1994-4684-B91B-C6CBF433A1BA}" name="PivotTable5" cacheId="0" dataOnRows="1" applyNumberFormats="0" applyBorderFormats="0" applyFontFormats="0" applyPatternFormats="0" applyAlignmentFormats="0" applyWidthHeightFormats="1" dataCaption="Downtime" updatedVersion="6" minRefreshableVersion="3" useAutoFormatting="1" itemPrintTitles="1" createdVersion="6" indent="0" outline="1" outlineData="1" multipleFieldFilters="0" chartFormat="31" rowHeaderCaption="Operator" colHeaderCaption="Operator">
  <location ref="P14:Q26" firstHeaderRow="1" firstDataRow="1" firstDataCol="1" rowPageCount="1" colPageCount="1"/>
  <pivotFields count="24">
    <pivotField numFmtId="14" showAll="0"/>
    <pivotField showAll="0"/>
    <pivotField showAll="0"/>
    <pivotField axis="axisPage" multipleItemSelectionAllowed="1" showAll="0">
      <items count="5">
        <item x="1"/>
        <item x="2"/>
        <item x="3"/>
        <item x="0"/>
        <item t="default"/>
      </items>
    </pivotField>
    <pivotField numFmtId="20" showAll="0"/>
    <pivotField numFmtId="20"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ragToRow="0" dragToCol="0" dragToPage="0" showAll="0" defaultSubtotal="0"/>
  </pivotFields>
  <rowFields count="1">
    <field x="-2"/>
  </rowFields>
  <rowItems count="12">
    <i>
      <x/>
    </i>
    <i i="1">
      <x v="1"/>
    </i>
    <i i="2">
      <x v="2"/>
    </i>
    <i i="3">
      <x v="3"/>
    </i>
    <i i="4">
      <x v="4"/>
    </i>
    <i i="5">
      <x v="5"/>
    </i>
    <i i="6">
      <x v="6"/>
    </i>
    <i i="7">
      <x v="7"/>
    </i>
    <i i="8">
      <x v="8"/>
    </i>
    <i i="9">
      <x v="9"/>
    </i>
    <i i="10">
      <x v="10"/>
    </i>
    <i i="11">
      <x v="11"/>
    </i>
  </rowItems>
  <colItems count="1">
    <i/>
  </colItems>
  <pageFields count="1">
    <pageField fld="3" hier="-1"/>
  </pageFields>
  <dataFields count="12">
    <dataField name="Machine Failure." fld="12" baseField="0" baseItem="0"/>
    <dataField name="Inventory Shortage." fld="9" baseField="0" baseItem="0"/>
    <dataField name="Machine Adjustment." fld="11" baseField="0" baseItem="0"/>
    <dataField name="Batch Change." fld="7" baseField="0" baseItem="0"/>
    <dataField name="Batch Coding Error." fld="13" baseField="0" baseItem="0"/>
    <dataField name="Other." fld="17" baseField="0" baseItem="0"/>
    <dataField name="Product Spill." fld="10" baseField="0" baseItem="0"/>
    <dataField name="Calibration Error." fld="15" baseField="0" baseItem="0"/>
    <dataField name="Labeling Error." fld="8" baseField="0" baseItem="0"/>
    <dataField name="Label Switch." fld="16" baseField="0" baseItem="0"/>
    <dataField name="Conveyor Belt Jam." fld="14" baseField="0" baseItem="0"/>
    <dataField name="Emergency Stop." fld="6" baseField="0" baseItem="0"/>
  </dataFields>
  <formats count="7">
    <format dxfId="14">
      <pivotArea field="3" type="button" dataOnly="0" labelOnly="1" outline="0" axis="axisPage" fieldPosition="0"/>
    </format>
    <format dxfId="15">
      <pivotArea dataOnly="0" labelOnly="1" outline="0" fieldPosition="0">
        <references count="1">
          <reference field="4294967294" count="12">
            <x v="0"/>
            <x v="1"/>
            <x v="2"/>
            <x v="3"/>
            <x v="4"/>
            <x v="5"/>
            <x v="6"/>
            <x v="7"/>
            <x v="8"/>
            <x v="9"/>
            <x v="10"/>
            <x v="11"/>
          </reference>
        </references>
      </pivotArea>
    </format>
    <format dxfId="16">
      <pivotArea field="3" type="button" dataOnly="0" labelOnly="1" outline="0" axis="axisPage" fieldPosition="0"/>
    </format>
    <format dxfId="17">
      <pivotArea field="3" type="button" dataOnly="0" labelOnly="1" outline="0" axis="axisPage" fieldPosition="0"/>
    </format>
    <format dxfId="18">
      <pivotArea dataOnly="0" labelOnly="1" outline="0" fieldPosition="0">
        <references count="1">
          <reference field="4294967294" count="12">
            <x v="0"/>
            <x v="1"/>
            <x v="2"/>
            <x v="3"/>
            <x v="4"/>
            <x v="5"/>
            <x v="6"/>
            <x v="7"/>
            <x v="8"/>
            <x v="9"/>
            <x v="10"/>
            <x v="11"/>
          </reference>
        </references>
      </pivotArea>
    </format>
    <format dxfId="19">
      <pivotArea dataOnly="0" labelOnly="1" outline="0" fieldPosition="0">
        <references count="1">
          <reference field="4294967294" count="12">
            <x v="0"/>
            <x v="1"/>
            <x v="2"/>
            <x v="3"/>
            <x v="4"/>
            <x v="5"/>
            <x v="6"/>
            <x v="7"/>
            <x v="8"/>
            <x v="9"/>
            <x v="10"/>
            <x v="11"/>
          </reference>
        </references>
      </pivotArea>
    </format>
    <format dxfId="20">
      <pivotArea outline="0" collapsedLevelsAreSubtotals="1" fieldPosition="0"/>
    </format>
  </formats>
  <chartFormats count="17">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14" format="5" series="1">
      <pivotArea type="data" outline="0" fieldPosition="0">
        <references count="1">
          <reference field="4294967294" count="1" selected="0">
            <x v="5"/>
          </reference>
        </references>
      </pivotArea>
    </chartFormat>
    <chartFormat chart="14" format="6" series="1">
      <pivotArea type="data" outline="0" fieldPosition="0">
        <references count="1">
          <reference field="4294967294" count="1" selected="0">
            <x v="6"/>
          </reference>
        </references>
      </pivotArea>
    </chartFormat>
    <chartFormat chart="14" format="7" series="1">
      <pivotArea type="data" outline="0" fieldPosition="0">
        <references count="1">
          <reference field="4294967294" count="1" selected="0">
            <x v="7"/>
          </reference>
        </references>
      </pivotArea>
    </chartFormat>
    <chartFormat chart="14" format="8" series="1">
      <pivotArea type="data" outline="0" fieldPosition="0">
        <references count="1">
          <reference field="4294967294" count="1" selected="0">
            <x v="8"/>
          </reference>
        </references>
      </pivotArea>
    </chartFormat>
    <chartFormat chart="14" format="9" series="1">
      <pivotArea type="data" outline="0" fieldPosition="0">
        <references count="1">
          <reference field="4294967294" count="1" selected="0">
            <x v="9"/>
          </reference>
        </references>
      </pivotArea>
    </chartFormat>
    <chartFormat chart="14" format="10" series="1">
      <pivotArea type="data" outline="0" fieldPosition="0">
        <references count="1">
          <reference field="4294967294" count="1" selected="0">
            <x v="10"/>
          </reference>
        </references>
      </pivotArea>
    </chartFormat>
    <chartFormat chart="14" format="11" series="1">
      <pivotArea type="data" outline="0" fieldPosition="0">
        <references count="1">
          <reference field="4294967294" count="1" selected="0">
            <x v="11"/>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1">
          <reference field="4294967294" count="1" selected="0">
            <x v="11"/>
          </reference>
        </references>
      </pivotArea>
    </chartFormat>
    <chartFormat chart="15" format="1">
      <pivotArea type="data" outline="0" fieldPosition="0">
        <references count="1">
          <reference field="4294967294" count="1" selected="0">
            <x v="9"/>
          </reference>
        </references>
      </pivotArea>
    </chartFormat>
    <chartFormat chart="15" format="2">
      <pivotArea type="data" outline="0" fieldPosition="0">
        <references count="1">
          <reference field="4294967294" count="1" selected="0">
            <x v="7"/>
          </reference>
        </references>
      </pivotArea>
    </chartFormat>
    <chartFormat chart="15" format="3">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210677-67D2-47F7-AFB0-94C8424284F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rowHeaderCaption="Produk">
  <location ref="B16:C22" firstHeaderRow="1" firstDataRow="1" firstDataCol="1"/>
  <pivotFields count="24">
    <pivotField numFmtId="14"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numFmtId="20" showAll="0"/>
    <pivotField numFmtId="2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6">
    <i>
      <x v="3"/>
    </i>
    <i>
      <x v="2"/>
    </i>
    <i>
      <x v="1"/>
    </i>
    <i>
      <x/>
    </i>
    <i>
      <x v="4"/>
    </i>
    <i t="grand">
      <x/>
    </i>
  </rowItems>
  <colItems count="1">
    <i/>
  </colItems>
  <dataFields count="1">
    <dataField name="Efficiency." fld="23" baseField="0" baseItem="0" numFmtId="9"/>
  </dataFields>
  <formats count="6">
    <format dxfId="67">
      <pivotArea outline="0" collapsedLevelsAreSubtotals="1" fieldPosition="0">
        <references count="1">
          <reference field="4294967294" count="1" selected="0">
            <x v="0"/>
          </reference>
        </references>
      </pivotArea>
    </format>
    <format dxfId="66">
      <pivotArea field="1" type="button" dataOnly="0" labelOnly="1" outline="0" axis="axisRow" fieldPosition="0"/>
    </format>
    <format dxfId="65">
      <pivotArea dataOnly="0" labelOnly="1" outline="0" fieldPosition="0">
        <references count="1">
          <reference field="4294967294" count="1">
            <x v="0"/>
          </reference>
        </references>
      </pivotArea>
    </format>
    <format dxfId="64">
      <pivotArea field="1" type="button" dataOnly="0" labelOnly="1" outline="0" axis="axisRow" fieldPosition="0"/>
    </format>
    <format dxfId="63">
      <pivotArea dataOnly="0" labelOnly="1" outline="0" fieldPosition="0">
        <references count="1">
          <reference field="4294967294" count="1">
            <x v="0"/>
          </reference>
        </references>
      </pivotArea>
    </format>
    <format dxfId="62">
      <pivotArea field="1" grandRow="1" outline="0" collapsedLevelsAreSubtotals="1" axis="axisRow" fieldPosition="0">
        <references count="1">
          <reference field="4294967294" count="1" selected="0">
            <x v="0"/>
          </reference>
        </references>
      </pivotArea>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0083F-97B3-4DAF-ACC8-91A5C6899C19}"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Operator">
  <location ref="B32:N37" firstHeaderRow="0" firstDataRow="1" firstDataCol="1"/>
  <pivotFields count="24">
    <pivotField numFmtId="14" showAll="0"/>
    <pivotField showAll="0"/>
    <pivotField showAll="0"/>
    <pivotField axis="axisRow" showAll="0">
      <items count="5">
        <item x="1"/>
        <item x="2"/>
        <item x="3"/>
        <item x="0"/>
        <item t="default"/>
      </items>
    </pivotField>
    <pivotField numFmtId="20" showAll="0"/>
    <pivotField numFmtId="20"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ragToRow="0" dragToCol="0" dragToPage="0" showAll="0" defaultSubtotal="0"/>
  </pivotFields>
  <rowFields count="1">
    <field x="3"/>
  </rowFields>
  <rowItems count="5">
    <i>
      <x/>
    </i>
    <i>
      <x v="1"/>
    </i>
    <i>
      <x v="2"/>
    </i>
    <i>
      <x v="3"/>
    </i>
    <i t="grand">
      <x/>
    </i>
  </rowItems>
  <colFields count="1">
    <field x="-2"/>
  </colFields>
  <colItems count="12">
    <i>
      <x/>
    </i>
    <i i="1">
      <x v="1"/>
    </i>
    <i i="2">
      <x v="2"/>
    </i>
    <i i="3">
      <x v="3"/>
    </i>
    <i i="4">
      <x v="4"/>
    </i>
    <i i="5">
      <x v="5"/>
    </i>
    <i i="6">
      <x v="6"/>
    </i>
    <i i="7">
      <x v="7"/>
    </i>
    <i i="8">
      <x v="8"/>
    </i>
    <i i="9">
      <x v="9"/>
    </i>
    <i i="10">
      <x v="10"/>
    </i>
    <i i="11">
      <x v="11"/>
    </i>
  </colItems>
  <dataFields count="12">
    <dataField name="Machine Failure." fld="12" baseField="0" baseItem="0"/>
    <dataField name="Inventory Shortage." fld="9" baseField="0" baseItem="0"/>
    <dataField name="Machine Adjustment." fld="11" baseField="0" baseItem="0"/>
    <dataField name="Batch Change." fld="7" baseField="0" baseItem="0"/>
    <dataField name="Batch Coding Error." fld="13" baseField="0" baseItem="0"/>
    <dataField name="Other." fld="17" baseField="0" baseItem="0"/>
    <dataField name="Product Spill." fld="10" baseField="0" baseItem="0"/>
    <dataField name="Calibration Error." fld="15" baseField="0" baseItem="0"/>
    <dataField name="Labeling Error." fld="8" baseField="0" baseItem="0"/>
    <dataField name="Label Switch." fld="16" baseField="0" baseItem="0"/>
    <dataField name="Conveyor Belt Jam." fld="14" baseField="0" baseItem="0"/>
    <dataField name="Emergency Stop." fld="6" baseField="0" baseItem="0"/>
  </dataFields>
  <formats count="7">
    <format dxfId="74">
      <pivotArea field="3" type="button" dataOnly="0" labelOnly="1" outline="0" axis="axisRow" fieldPosition="0"/>
    </format>
    <format dxfId="73">
      <pivotArea dataOnly="0" labelOnly="1" outline="0" fieldPosition="0">
        <references count="1">
          <reference field="4294967294" count="12">
            <x v="0"/>
            <x v="1"/>
            <x v="2"/>
            <x v="3"/>
            <x v="4"/>
            <x v="5"/>
            <x v="6"/>
            <x v="7"/>
            <x v="8"/>
            <x v="9"/>
            <x v="10"/>
            <x v="11"/>
          </reference>
        </references>
      </pivotArea>
    </format>
    <format dxfId="72">
      <pivotArea field="3" type="button" dataOnly="0" labelOnly="1" outline="0" axis="axisRow" fieldPosition="0"/>
    </format>
    <format dxfId="71">
      <pivotArea field="3" type="button" dataOnly="0" labelOnly="1" outline="0" axis="axisRow" fieldPosition="0"/>
    </format>
    <format dxfId="70">
      <pivotArea dataOnly="0" labelOnly="1" outline="0" fieldPosition="0">
        <references count="1">
          <reference field="4294967294" count="12">
            <x v="0"/>
            <x v="1"/>
            <x v="2"/>
            <x v="3"/>
            <x v="4"/>
            <x v="5"/>
            <x v="6"/>
            <x v="7"/>
            <x v="8"/>
            <x v="9"/>
            <x v="10"/>
            <x v="11"/>
          </reference>
        </references>
      </pivotArea>
    </format>
    <format dxfId="69">
      <pivotArea dataOnly="0" labelOnly="1" outline="0" fieldPosition="0">
        <references count="1">
          <reference field="4294967294" count="12">
            <x v="0"/>
            <x v="1"/>
            <x v="2"/>
            <x v="3"/>
            <x v="4"/>
            <x v="5"/>
            <x v="6"/>
            <x v="7"/>
            <x v="8"/>
            <x v="9"/>
            <x v="10"/>
            <x v="11"/>
          </reference>
        </references>
      </pivotArea>
    </format>
    <format dxfId="68">
      <pivotArea outline="0" collapsedLevelsAreSubtotals="1" fieldPosition="0"/>
    </format>
  </formats>
  <conditionalFormats count="1">
    <conditionalFormat priority="1">
      <pivotAreas count="1">
        <pivotArea type="data" collapsedLevelsAreSubtotals="1" fieldPosition="0">
          <references count="1">
            <reference field="3"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7CD307-5F39-4AEC-BDD5-35D5CB567C8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Operator">
  <location ref="H16:K21" firstHeaderRow="0" firstDataRow="1" firstDataCol="1"/>
  <pivotFields count="24">
    <pivotField numFmtId="14" showAll="0"/>
    <pivotField showAll="0"/>
    <pivotField showAll="0"/>
    <pivotField axis="axisRow" showAll="0">
      <items count="5">
        <item x="1"/>
        <item x="2"/>
        <item x="3"/>
        <item x="0"/>
        <item t="default"/>
      </items>
    </pivotField>
    <pivotField numFmtId="20" showAll="0"/>
    <pivotField numFmtId="20"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ataField="1" dragToRow="0" dragToCol="0" dragToPage="0" showAll="0" defaultSubtotal="0"/>
  </pivotFields>
  <rowFields count="1">
    <field x="3"/>
  </rowFields>
  <rowItems count="5">
    <i>
      <x/>
    </i>
    <i>
      <x v="1"/>
    </i>
    <i>
      <x v="2"/>
    </i>
    <i>
      <x v="3"/>
    </i>
    <i t="grand">
      <x/>
    </i>
  </rowItems>
  <colFields count="1">
    <field x="-2"/>
  </colFields>
  <colItems count="3">
    <i>
      <x/>
    </i>
    <i i="1">
      <x v="1"/>
    </i>
    <i i="2">
      <x v="2"/>
    </i>
  </colItems>
  <dataFields count="3">
    <dataField name="Downtime Operator Error." fld="18" baseField="0" baseItem="0"/>
    <dataField name="Downtime non Operator Error." fld="19" baseField="0" baseItem="0"/>
    <dataField name="Efficiency." fld="23" baseField="0" baseItem="0" numFmtId="9"/>
  </dataFields>
  <formats count="4">
    <format dxfId="78">
      <pivotArea field="3" type="button" dataOnly="0" labelOnly="1" outline="0" axis="axisRow" fieldPosition="0"/>
    </format>
    <format dxfId="77">
      <pivotArea field="3" type="button" dataOnly="0" labelOnly="1" outline="0" axis="axisRow" fieldPosition="0"/>
    </format>
    <format dxfId="76">
      <pivotArea field="3" type="button" dataOnly="0" labelOnly="1" outline="0" axis="axisRow" fieldPosition="0"/>
    </format>
    <format dxfId="75">
      <pivotArea outline="0" collapsedLevelsAreSubtotals="1" fieldPosition="0">
        <references count="1">
          <reference field="4294967294" count="1" selected="0">
            <x v="2"/>
          </reference>
        </references>
      </pivotArea>
    </format>
  </formats>
  <chartFormats count="6">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1"/>
          </reference>
          <reference field="3" count="1" selected="0">
            <x v="2"/>
          </reference>
        </references>
      </pivotArea>
    </chartFormat>
    <chartFormat chart="0" format="7">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1FAD769B-36C1-41C4-A47A-4A665BAEE8C3}" autoFormatId="16" applyNumberFormats="0" applyBorderFormats="0" applyFontFormats="0" applyPatternFormats="0" applyAlignmentFormats="0" applyWidthHeightFormats="0">
  <queryTableRefresh nextId="24" unboundColumnsRight="17">
    <queryTableFields count="23">
      <queryTableField id="1" name="Date" tableColumnId="1"/>
      <queryTableField id="2" name="Product" tableColumnId="2"/>
      <queryTableField id="3" name="Batch" tableColumnId="3"/>
      <queryTableField id="4" name="Operator" tableColumnId="4"/>
      <queryTableField id="5" name="Start Time" tableColumnId="5"/>
      <queryTableField id="6" name="End Time"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23" dataBound="0" tableColumnId="23"/>
      <queryTableField id="22" dataBound="0" tableColumnId="22"/>
      <queryTableField id="19" dataBound="0" tableColumnId="19"/>
      <queryTableField id="20" dataBound="0" tableColumnId="20"/>
      <queryTableField id="21" dataBound="0"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A365E12B-547A-4E37-9B29-0743D7118E46}" autoFormatId="16" applyNumberFormats="0" applyBorderFormats="0" applyFontFormats="0" applyPatternFormats="0" applyAlignmentFormats="0" applyWidthHeightFormats="0">
  <queryTableRefresh nextId="7">
    <queryTableFields count="6">
      <queryTableField id="1" name="Date" tableColumnId="1"/>
      <queryTableField id="2" name="Product" tableColumnId="2"/>
      <queryTableField id="3" name="Batch" tableColumnId="3"/>
      <queryTableField id="4" name="Operator" tableColumnId="4"/>
      <queryTableField id="5" name="Start Time" tableColumnId="5"/>
      <queryTableField id="6" name="End Tim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BA853D97-3CD6-44CD-B51B-A463D2DE5859}"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1E13D470-B597-4970-B108-1131E13135EA}" autoFormatId="16" applyNumberFormats="0" applyBorderFormats="0" applyFontFormats="0" applyPatternFormats="0" applyAlignmentFormats="0" applyWidthHeightFormats="0">
  <queryTableRefresh nextId="4">
    <queryTableFields count="3">
      <queryTableField id="1" name="Factor" tableColumnId="1"/>
      <queryTableField id="2" name="Description" tableColumnId="2"/>
      <queryTableField id="3" name="Operator Error"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412E9EDB-8E12-4372-A45E-46661BD29E63}" autoFormatId="16" applyNumberFormats="0" applyBorderFormats="0" applyFontFormats="0" applyPatternFormats="0" applyAlignmentFormats="0" applyWidthHeightFormats="0">
  <queryTableRefresh nextId="5">
    <queryTableFields count="4">
      <queryTableField id="1" name="Product" tableColumnId="1"/>
      <queryTableField id="2" name="Flavor" tableColumnId="2"/>
      <queryTableField id="3" name="Size" tableColumnId="3"/>
      <queryTableField id="4" name="Min batch tim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5" xr16:uid="{563CCA82-7421-4D7F-AA6B-CAE2A5E90261}"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007C1D7-B7A4-4113-BDC4-F4D3C8887502}" sourceName="Product">
  <pivotTables>
    <pivotTable tabId="7" name="PivotTable1"/>
  </pivotTables>
  <data>
    <tabular pivotCacheId="523027116">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8B48A4F7-0F83-44D3-A22F-93BA9A8DAAC3}" sourceName="Operator">
  <pivotTables>
    <pivotTable tabId="7" name="PivotTable3"/>
    <pivotTable tabId="7" name="PivotTable4"/>
    <pivotTable tabId="7" name="PivotTable5"/>
  </pivotTables>
  <data>
    <tabular pivotCacheId="52302711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0109628-89FC-4647-B81C-9F6730075610}" cache="Slicer_Product" caption="Product" columnCount="5" rowHeight="241300"/>
  <slicer name="Operator" xr10:uid="{666F66A0-EA24-40C0-BEF4-9AE8CF394804}" cache="Slicer_Operator" caption="Operator" columnCoun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832D7C-5B5C-4539-8103-1E0F289E786E}" name="line_productivity7" displayName="line_productivity7" ref="A6:W37" tableType="queryTable" totalsRowShown="0" headerRowDxfId="61" dataDxfId="60">
  <autoFilter ref="A6:W37" xr:uid="{BAF64A87-1F07-4C1F-A7C5-41EE83A7B2AD}"/>
  <tableColumns count="23">
    <tableColumn id="1" xr3:uid="{0A2C84AF-2604-4687-838C-0E76BADED43D}" uniqueName="1" name="Date" queryTableFieldId="1" dataDxfId="59"/>
    <tableColumn id="2" xr3:uid="{83D2CEC4-A0CF-49C0-ADBD-3FC7375DB757}" uniqueName="2" name="Product" queryTableFieldId="2" dataDxfId="58"/>
    <tableColumn id="3" xr3:uid="{62C764B0-A203-4718-9A61-62ACF2932E53}" uniqueName="3" name="Batch" queryTableFieldId="3" dataDxfId="57"/>
    <tableColumn id="4" xr3:uid="{627D6287-7644-42D6-92D5-44DD230A80D7}" uniqueName="4" name="Operator" queryTableFieldId="4" dataDxfId="56"/>
    <tableColumn id="5" xr3:uid="{212FEE34-5E96-4BB9-BE1C-7870B8F373C5}" uniqueName="5" name="Start Time" queryTableFieldId="5" dataDxfId="55"/>
    <tableColumn id="6" xr3:uid="{A60D4E56-409C-4361-BD22-D2E113955A17}" uniqueName="6" name="End Time" queryTableFieldId="6" dataDxfId="54"/>
    <tableColumn id="7" xr3:uid="{5FEBE924-D22A-4CAD-B59B-2EAA17CF7636}" uniqueName="7" name="Emergency Stop" queryTableFieldId="7" dataDxfId="53">
      <calculatedColumnFormula>SUMIFS(line_downtime[Column2],line_downtime[Column1],line_productivity7[[#This Row],[Batch]])</calculatedColumnFormula>
    </tableColumn>
    <tableColumn id="8" xr3:uid="{51C2BA24-F9DD-434E-A538-B370F0087FB1}" uniqueName="8" name="Batch Change" queryTableFieldId="8" dataDxfId="52">
      <calculatedColumnFormula>SUMIFS(line_downtime[Column3],line_downtime[Column1],line_productivity7[[#This Row],[Batch]])</calculatedColumnFormula>
    </tableColumn>
    <tableColumn id="9" xr3:uid="{55D0A27E-0ADE-4A56-B8CA-9AF58BA3F564}" uniqueName="9" name="Labeling Error" queryTableFieldId="9" dataDxfId="51">
      <calculatedColumnFormula>SUMIFS(line_downtime[Column4],line_downtime[Column1],line_productivity7[[#This Row],[Batch]])</calculatedColumnFormula>
    </tableColumn>
    <tableColumn id="10" xr3:uid="{1EC43A77-51E9-4C2E-8088-B439A3226EF6}" uniqueName="10" name="Inventory Shortage" queryTableFieldId="10" dataDxfId="50">
      <calculatedColumnFormula>SUMIFS(line_downtime[Column5],line_downtime[Column1],line_productivity7[[#This Row],[Batch]])</calculatedColumnFormula>
    </tableColumn>
    <tableColumn id="11" xr3:uid="{715405D0-C2D2-441D-9D3F-323B9DBCE141}" uniqueName="11" name="Product Spill" queryTableFieldId="11" dataDxfId="49">
      <calculatedColumnFormula>SUMIFS(line_downtime[Column6],line_downtime[Column1],line_productivity7[[#This Row],[Batch]])</calculatedColumnFormula>
    </tableColumn>
    <tableColumn id="12" xr3:uid="{27C5C9E2-2604-4F9F-837A-80E3D161253F}" uniqueName="12" name="Machine Adjustment" queryTableFieldId="12" dataDxfId="48">
      <calculatedColumnFormula>SUMIFS(line_downtime[Column7],line_downtime[Column1],line_productivity7[[#This Row],[Batch]])</calculatedColumnFormula>
    </tableColumn>
    <tableColumn id="13" xr3:uid="{6861411B-3950-40C9-9FA2-92538D4C4E11}" uniqueName="13" name="Machine Failure" queryTableFieldId="13" dataDxfId="47">
      <calculatedColumnFormula>SUMIFS(line_downtime[Column8],line_downtime[Column1],line_productivity7[[#This Row],[Batch]])</calculatedColumnFormula>
    </tableColumn>
    <tableColumn id="14" xr3:uid="{9F635D78-F898-4DE0-A1E4-6987686ABDB3}" uniqueName="14" name="Batch Coding Error" queryTableFieldId="14" dataDxfId="46">
      <calculatedColumnFormula>SUMIFS(line_downtime[Column9],line_downtime[Column1],line_productivity7[[#This Row],[Batch]])</calculatedColumnFormula>
    </tableColumn>
    <tableColumn id="15" xr3:uid="{3B0230C4-EDE4-4831-AAC9-C8FDBA1BD9D6}" uniqueName="15" name="Conveyor Belt Jam" queryTableFieldId="15" dataDxfId="45">
      <calculatedColumnFormula>SUMIFS(line_downtime[Column10],line_downtime[Column1],line_productivity7[[#This Row],[Batch]])</calculatedColumnFormula>
    </tableColumn>
    <tableColumn id="16" xr3:uid="{D13DE925-8CB1-412E-A4FD-566310723F07}" uniqueName="16" name="Calibration Error" queryTableFieldId="16" dataDxfId="44">
      <calculatedColumnFormula>SUMIFS(line_downtime[Column11],line_downtime[Column1],line_productivity7[[#This Row],[Batch]])</calculatedColumnFormula>
    </tableColumn>
    <tableColumn id="17" xr3:uid="{0DD6C001-E45B-4283-8144-12C3C5C91BA8}" uniqueName="17" name="Label Switch" queryTableFieldId="17" dataDxfId="43">
      <calculatedColumnFormula>SUMIFS(line_downtime[Column12],line_downtime[Column1],line_productivity7[[#This Row],[Batch]])</calculatedColumnFormula>
    </tableColumn>
    <tableColumn id="18" xr3:uid="{FF9DE9DA-55CB-4009-A977-E70A7F0141C2}" uniqueName="18" name="Other" queryTableFieldId="18" dataDxfId="42">
      <calculatedColumnFormula>SUMIFS(line_downtime[Column13],line_downtime[Column1],line_productivity7[[#This Row],[Batch]])</calculatedColumnFormula>
    </tableColumn>
    <tableColumn id="23" xr3:uid="{C4BA231A-900B-4EA8-84F7-0409775ADCB0}" uniqueName="23" name="Downtime Operator Error" queryTableFieldId="23" dataDxfId="41">
      <calculatedColumnFormula>line_productivity7[[#This Row],[Batch Change]]+line_productivity7[[#This Row],[Product Spill]]+line_productivity7[[#This Row],[Machine Adjustment]]+line_productivity7[[#This Row],[Batch Coding Error]]+line_productivity7[[#This Row],[Calibration Error]]+line_productivity7[[#This Row],[Label Switch]]</calculatedColumnFormula>
    </tableColumn>
    <tableColumn id="22" xr3:uid="{DAD7DFDF-61AA-4AE0-BDCB-0777C1E35E14}" uniqueName="22" name="Downtime non Operator Error" queryTableFieldId="22" dataDxfId="40">
      <calculatedColumnFormula>line_productivity7[[#This Row],[Emergency Stop]]+line_productivity7[[#This Row],[Labeling Error]]+line_productivity7[[#This Row],[Inventory Shortage]]+line_productivity7[[#This Row],[Machine Failure]]+line_productivity7[[#This Row],[Conveyor Belt Jam]]+line_productivity7[[#This Row],[Other]]</calculatedColumnFormula>
    </tableColumn>
    <tableColumn id="19" xr3:uid="{3000CBE2-FFE6-4B18-BC7F-EDB925DB2DFC}" uniqueName="19" name="TD" queryTableFieldId="19" dataDxfId="39">
      <calculatedColumnFormula>SUM(line_productivity7[[#This Row],[Emergency Stop]:[Other]])</calculatedColumnFormula>
    </tableColumn>
    <tableColumn id="20" xr3:uid="{DBD47F3E-5A06-4E7A-BAE4-8221D3C407B5}" uniqueName="20" name="PT" queryTableFieldId="20" dataDxfId="38">
      <calculatedColumnFormula>MOD(line_productivity7[[#This Row],[End Time]]-line_productivity7[[#This Row],[Start Time]],1)*1440</calculatedColumnFormula>
    </tableColumn>
    <tableColumn id="21" xr3:uid="{48F3316B-F9F7-4248-BD08-C60ED38A050E}" uniqueName="21" name="NT" queryTableFieldId="21" dataDxfId="37">
      <calculatedColumnFormula>line_productivity7[[#This Row],[PT]]-line_productivity7[[#This Row],[TD]]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88960C-9D55-4091-A18C-FCB5D1ADFE2A}" name="line_productivity" displayName="line_productivity" ref="A1:F32" tableType="queryTable" totalsRowShown="0">
  <autoFilter ref="A1:F32" xr:uid="{9E319104-7D27-4C52-8F06-43DDA555F8FD}"/>
  <tableColumns count="6">
    <tableColumn id="1" xr3:uid="{DFCDFCEE-453D-490D-8878-0EA1018C0551}" uniqueName="1" name="Date" queryTableFieldId="1" dataDxfId="36"/>
    <tableColumn id="2" xr3:uid="{4A86C7E5-093F-4858-9BDF-E1879016D1D5}" uniqueName="2" name="Product" queryTableFieldId="2" dataDxfId="35"/>
    <tableColumn id="3" xr3:uid="{6A559CC5-ADD4-4B7D-9334-0B12471FB379}" uniqueName="3" name="Batch" queryTableFieldId="3"/>
    <tableColumn id="4" xr3:uid="{1DD1058D-FCF1-464E-96CD-748BAD8E6FD3}" uniqueName="4" name="Operator" queryTableFieldId="4" dataDxfId="34"/>
    <tableColumn id="5" xr3:uid="{927C9423-D622-4500-8991-7325F01E1B69}" uniqueName="5" name="Start Time" queryTableFieldId="5" dataDxfId="33"/>
    <tableColumn id="6" xr3:uid="{54FB76CA-B965-45F1-9A42-6C90C7B2C87C}" uniqueName="6" name="End Time" queryTableFieldId="6"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C2478A-D387-45C0-9886-3E1385891C80}" name="line_downtime" displayName="line_downtime" ref="A1:M41" tableType="queryTable" totalsRowShown="0">
  <autoFilter ref="A1:M41" xr:uid="{2BF2A849-6C6C-4713-BE7B-1D27984A93D2}"/>
  <tableColumns count="13">
    <tableColumn id="1" xr3:uid="{CF433AC3-D152-426C-B5FC-14E4A82D1441}" uniqueName="1" name="Column1" queryTableFieldId="1" dataDxfId="31"/>
    <tableColumn id="2" xr3:uid="{796A5357-CD4E-4C39-8633-703C5310A9F4}" uniqueName="2" name="Column2" queryTableFieldId="2" dataDxfId="30"/>
    <tableColumn id="3" xr3:uid="{15DEAF7C-472C-4C7C-8666-81CAFB1F84DE}" uniqueName="3" name="Column3" queryTableFieldId="3"/>
    <tableColumn id="4" xr3:uid="{46AB97B2-B040-4499-9BEE-2D709B337B88}" uniqueName="4" name="Column4" queryTableFieldId="4"/>
    <tableColumn id="5" xr3:uid="{FD7A7802-C4F5-477F-804A-B6101024F22A}" uniqueName="5" name="Column5" queryTableFieldId="5"/>
    <tableColumn id="6" xr3:uid="{6863DDB9-B967-4075-BC98-DA265C5C978A}" uniqueName="6" name="Column6" queryTableFieldId="6"/>
    <tableColumn id="7" xr3:uid="{48B9BBA8-CF0A-4E11-8525-63ACF6B43D32}" uniqueName="7" name="Column7" queryTableFieldId="7"/>
    <tableColumn id="8" xr3:uid="{014668E7-16E1-42B4-9A23-EF65FAD4EB9D}" uniqueName="8" name="Column8" queryTableFieldId="8"/>
    <tableColumn id="9" xr3:uid="{756827B0-0D5C-4962-9E66-831EF770EE1C}" uniqueName="9" name="Column9" queryTableFieldId="9"/>
    <tableColumn id="10" xr3:uid="{2303522A-DA6B-4C5A-BE7E-A25A42B2FE89}" uniqueName="10" name="Column10" queryTableFieldId="10"/>
    <tableColumn id="11" xr3:uid="{EAA0164C-0C4D-44E8-9666-2D746B21F3E5}" uniqueName="11" name="Column11" queryTableFieldId="11"/>
    <tableColumn id="12" xr3:uid="{F8151B07-B22D-43C7-8DFC-082F40DDFC7B}" uniqueName="12" name="Column12" queryTableFieldId="12"/>
    <tableColumn id="13" xr3:uid="{5700F49C-CE70-4B63-9337-13AF3D53CB24}" uniqueName="13" name="Column13"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29213C-E665-44DD-826F-83D99815B68F}" name="downtime_factors" displayName="downtime_factors" ref="A1:C13" tableType="queryTable" totalsRowShown="0">
  <autoFilter ref="A1:C13" xr:uid="{59A3DCBD-88EC-46A0-9007-26BB0BF7625D}"/>
  <tableColumns count="3">
    <tableColumn id="1" xr3:uid="{916B5800-9739-4225-880C-D2E6FB6F9856}" uniqueName="1" name="Factor" queryTableFieldId="1"/>
    <tableColumn id="2" xr3:uid="{2B970858-0EDF-4926-BA02-297A857CE968}" uniqueName="2" name="Description" queryTableFieldId="2" dataDxfId="29"/>
    <tableColumn id="3" xr3:uid="{49EBC438-FBF2-473E-BBBD-6198E9122B10}" uniqueName="3" name="Operator Error" queryTableFieldId="3"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EE3CA8-74E9-43D1-8CFF-10778C397DDA}" name="products" displayName="products" ref="A1:D6" tableType="queryTable" totalsRowShown="0">
  <autoFilter ref="A1:D6" xr:uid="{9C407624-4E95-43C5-A02D-00450191F2EE}"/>
  <tableColumns count="4">
    <tableColumn id="1" xr3:uid="{A143DF88-E1A4-4D89-A194-A02CE3EDFE82}" uniqueName="1" name="Product" queryTableFieldId="1" dataDxfId="27"/>
    <tableColumn id="2" xr3:uid="{D5F1D52E-C155-437D-BABD-F80BCA90CC06}" uniqueName="2" name="Flavor" queryTableFieldId="2" dataDxfId="26"/>
    <tableColumn id="3" xr3:uid="{CF95FF40-3933-44CC-94E9-1B1AD54F3D11}" uniqueName="3" name="Size" queryTableFieldId="3" dataDxfId="25"/>
    <tableColumn id="4" xr3:uid="{E7F3A48A-0003-432C-BA7F-A2F49DEDCDB0}" uniqueName="4" name="Min batch time"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ED5800-08CD-4107-88E4-7D37347B3298}" name="metadata" displayName="metadata" ref="A1:C21" tableType="queryTable" totalsRowShown="0" headerRowDxfId="24">
  <autoFilter ref="A1:C21" xr:uid="{C42F9ABD-6A7A-4332-AE51-735E63C87E1D}"/>
  <tableColumns count="3">
    <tableColumn id="1" xr3:uid="{F0F6DB2F-93FD-43B5-A108-3D5F31E75D61}" uniqueName="1" name="Column1" queryTableFieldId="1" dataDxfId="23"/>
    <tableColumn id="2" xr3:uid="{07FF5F25-86B7-4A79-90FA-BCB426A1FA38}" uniqueName="2" name="Column2" queryTableFieldId="2" dataDxfId="22"/>
    <tableColumn id="3" xr3:uid="{AD354401-2EDB-4575-B4D1-C5DA2285C8B3}" uniqueName="3" name="Column3" queryTableFieldId="3" dataDxf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AA24A-3CE5-476C-8295-A3F6541CF407}">
  <dimension ref="B1:BV47"/>
  <sheetViews>
    <sheetView showGridLines="0" tabSelected="1" topLeftCell="K23" zoomScale="88" zoomScaleNormal="100" workbookViewId="0">
      <selection activeCell="P40" sqref="P40:T47"/>
    </sheetView>
  </sheetViews>
  <sheetFormatPr defaultRowHeight="15" x14ac:dyDescent="0.25"/>
  <cols>
    <col min="1" max="1" width="15.7109375" style="4" customWidth="1"/>
    <col min="2" max="2" width="13.5703125" style="4" bestFit="1" customWidth="1"/>
    <col min="3" max="3" width="8.7109375" style="4" bestFit="1" customWidth="1"/>
    <col min="4" max="5" width="9.5703125" style="4" bestFit="1" customWidth="1"/>
    <col min="6" max="6" width="13.5703125" style="4" bestFit="1" customWidth="1"/>
    <col min="7" max="7" width="7.140625" style="4" bestFit="1" customWidth="1"/>
    <col min="8" max="8" width="6.7109375" style="4" bestFit="1" customWidth="1"/>
    <col min="9" max="9" width="12.7109375" style="4" bestFit="1" customWidth="1"/>
    <col min="10" max="10" width="16.140625" style="4" bestFit="1" customWidth="1"/>
    <col min="11" max="11" width="8.42578125" style="4" bestFit="1" customWidth="1"/>
    <col min="12" max="12" width="7.42578125" style="4" bestFit="1" customWidth="1"/>
    <col min="13" max="13" width="9.42578125" style="4" bestFit="1" customWidth="1"/>
    <col min="14" max="14" width="15.85546875" style="4" customWidth="1"/>
    <col min="15" max="15" width="5.7109375" style="4" customWidth="1"/>
    <col min="16" max="16" width="30.7109375" style="4" customWidth="1"/>
    <col min="17" max="17" width="15.28515625" style="4" bestFit="1" customWidth="1"/>
    <col min="18" max="18" width="13.5703125" style="4" bestFit="1" customWidth="1"/>
    <col min="19" max="19" width="18" style="4" bestFit="1" customWidth="1"/>
    <col min="20" max="20" width="6.7109375" style="4" bestFit="1" customWidth="1"/>
    <col min="21" max="21" width="12.7109375" style="4" bestFit="1" customWidth="1"/>
    <col min="22" max="22" width="16.140625" style="4" bestFit="1" customWidth="1"/>
    <col min="23" max="23" width="13.85546875" style="4" bestFit="1" customWidth="1"/>
    <col min="24" max="24" width="12.5703125" style="4" bestFit="1" customWidth="1"/>
    <col min="25" max="25" width="18.140625" style="4" bestFit="1" customWidth="1"/>
    <col min="26" max="26" width="15.85546875" style="4" bestFit="1" customWidth="1"/>
    <col min="27" max="62" width="20.42578125" style="4" bestFit="1" customWidth="1"/>
    <col min="63" max="63" width="21" style="4" bestFit="1" customWidth="1"/>
    <col min="64" max="64" width="23.7109375" style="4" bestFit="1" customWidth="1"/>
    <col min="65" max="65" width="25.5703125" style="4" bestFit="1" customWidth="1"/>
    <col min="66" max="66" width="18.5703125" style="4" bestFit="1" customWidth="1"/>
    <col min="67" max="67" width="23" style="4" bestFit="1" customWidth="1"/>
    <col min="68" max="68" width="11.5703125" style="4" bestFit="1" customWidth="1"/>
    <col min="69" max="69" width="17.85546875" style="4" bestFit="1" customWidth="1"/>
    <col min="70" max="70" width="21.140625" style="4" bestFit="1" customWidth="1"/>
    <col min="71" max="71" width="18.85546875" style="4" bestFit="1" customWidth="1"/>
    <col min="72" max="72" width="17.7109375" style="4" bestFit="1" customWidth="1"/>
    <col min="73" max="73" width="23.140625" style="4" bestFit="1" customWidth="1"/>
    <col min="74" max="74" width="20.85546875" style="4" bestFit="1" customWidth="1"/>
    <col min="75" max="16384" width="9.140625" style="4"/>
  </cols>
  <sheetData>
    <row r="1" spans="2:74" ht="15" customHeight="1" x14ac:dyDescent="0.25">
      <c r="B1" s="20" t="s">
        <v>110</v>
      </c>
      <c r="C1" s="20"/>
      <c r="D1" s="20"/>
      <c r="E1" s="20"/>
      <c r="F1" s="20"/>
      <c r="G1" s="20"/>
      <c r="H1" s="20"/>
      <c r="I1" s="20"/>
      <c r="J1" s="20"/>
      <c r="K1" s="20"/>
    </row>
    <row r="2" spans="2:74" ht="15" customHeight="1" x14ac:dyDescent="0.25">
      <c r="B2" s="20"/>
      <c r="C2" s="20"/>
      <c r="D2" s="20"/>
      <c r="E2" s="20"/>
      <c r="F2" s="20"/>
      <c r="G2" s="20"/>
      <c r="H2" s="20"/>
      <c r="I2" s="20"/>
      <c r="J2" s="20"/>
      <c r="K2" s="20"/>
    </row>
    <row r="3" spans="2:74" ht="15" customHeight="1" x14ac:dyDescent="0.25">
      <c r="B3" s="20"/>
      <c r="C3" s="20"/>
      <c r="D3" s="20"/>
      <c r="E3" s="20"/>
      <c r="F3" s="20"/>
      <c r="G3" s="20"/>
      <c r="H3" s="20"/>
      <c r="I3" s="20"/>
      <c r="J3" s="20"/>
      <c r="K3" s="20"/>
    </row>
    <row r="4" spans="2:74" ht="15" customHeight="1" x14ac:dyDescent="0.25">
      <c r="B4" s="20"/>
      <c r="C4" s="20"/>
      <c r="D4" s="20"/>
      <c r="E4" s="20"/>
      <c r="F4" s="20"/>
      <c r="G4" s="20"/>
      <c r="H4" s="20"/>
      <c r="I4" s="20"/>
      <c r="J4" s="20"/>
      <c r="K4" s="20"/>
    </row>
    <row r="5" spans="2:74" ht="15" customHeight="1" x14ac:dyDescent="0.25">
      <c r="B5" s="20"/>
      <c r="C5" s="20"/>
      <c r="D5" s="20"/>
      <c r="E5" s="20"/>
      <c r="F5" s="20"/>
      <c r="G5" s="20"/>
      <c r="H5" s="20"/>
      <c r="I5" s="20"/>
      <c r="J5" s="20"/>
      <c r="K5" s="20"/>
      <c r="O5" s="24" t="s">
        <v>4</v>
      </c>
      <c r="P5" s="24" t="s">
        <v>193</v>
      </c>
      <c r="Q5" s="24" t="s">
        <v>197</v>
      </c>
    </row>
    <row r="6" spans="2:74" x14ac:dyDescent="0.25">
      <c r="B6" s="20"/>
      <c r="C6" s="20"/>
      <c r="D6" s="20"/>
      <c r="E6" s="20"/>
      <c r="F6" s="20"/>
      <c r="G6" s="20"/>
      <c r="H6" s="20"/>
      <c r="I6" s="20"/>
      <c r="J6" s="20"/>
      <c r="K6" s="20"/>
      <c r="M6"/>
      <c r="O6" s="21">
        <v>1</v>
      </c>
      <c r="P6" s="22" t="s">
        <v>194</v>
      </c>
      <c r="Q6" s="25">
        <v>0.64</v>
      </c>
      <c r="R6"/>
      <c r="S6"/>
      <c r="T6"/>
      <c r="U6"/>
      <c r="V6"/>
      <c r="W6"/>
      <c r="X6"/>
      <c r="Y6"/>
      <c r="Z6"/>
      <c r="AA6"/>
      <c r="AB6"/>
      <c r="AC6"/>
    </row>
    <row r="7" spans="2:74" x14ac:dyDescent="0.25">
      <c r="B7" s="20"/>
      <c r="C7" s="20"/>
      <c r="D7" s="20"/>
      <c r="E7" s="20"/>
      <c r="F7" s="20"/>
      <c r="G7" s="20"/>
      <c r="H7" s="20"/>
      <c r="I7" s="20"/>
      <c r="J7" s="20"/>
      <c r="K7" s="20"/>
      <c r="O7" s="21">
        <v>2</v>
      </c>
      <c r="P7" s="22" t="s">
        <v>195</v>
      </c>
      <c r="Q7" s="25">
        <v>0.64</v>
      </c>
      <c r="R7"/>
      <c r="S7"/>
      <c r="T7"/>
      <c r="U7"/>
      <c r="V7"/>
      <c r="W7"/>
      <c r="X7"/>
      <c r="Y7"/>
      <c r="Z7"/>
      <c r="AA7"/>
      <c r="AB7"/>
      <c r="AC7"/>
    </row>
    <row r="8" spans="2:74" x14ac:dyDescent="0.25">
      <c r="B8" s="20"/>
      <c r="C8" s="20"/>
      <c r="D8" s="20"/>
      <c r="E8" s="20"/>
      <c r="F8" s="20"/>
      <c r="G8" s="20"/>
      <c r="H8" s="20"/>
      <c r="I8" s="20"/>
      <c r="J8" s="20"/>
      <c r="K8" s="20"/>
      <c r="O8" s="21">
        <v>3</v>
      </c>
      <c r="P8" s="22" t="s">
        <v>196</v>
      </c>
      <c r="Q8" s="23" t="s">
        <v>125</v>
      </c>
      <c r="R8"/>
      <c r="S8"/>
      <c r="T8"/>
      <c r="U8"/>
      <c r="V8"/>
      <c r="W8"/>
      <c r="X8"/>
      <c r="Y8"/>
      <c r="Z8"/>
      <c r="AA8"/>
      <c r="AB8"/>
      <c r="AC8"/>
    </row>
    <row r="9" spans="2:74" x14ac:dyDescent="0.25">
      <c r="B9" s="20"/>
      <c r="C9" s="20"/>
      <c r="D9" s="20"/>
      <c r="E9" s="20"/>
      <c r="F9" s="20"/>
      <c r="G9" s="20"/>
      <c r="H9" s="20"/>
      <c r="I9" s="20"/>
      <c r="J9" s="20"/>
      <c r="K9" s="20"/>
      <c r="O9" s="21">
        <v>4</v>
      </c>
      <c r="P9" s="22" t="s">
        <v>198</v>
      </c>
      <c r="Q9" s="23" t="s">
        <v>199</v>
      </c>
      <c r="R9"/>
      <c r="S9"/>
      <c r="T9"/>
      <c r="U9"/>
      <c r="V9"/>
      <c r="W9"/>
      <c r="X9"/>
      <c r="Y9"/>
      <c r="Z9"/>
      <c r="AA9"/>
      <c r="AB9"/>
      <c r="AC9"/>
    </row>
    <row r="10" spans="2:74" x14ac:dyDescent="0.25">
      <c r="B10" s="20"/>
      <c r="C10" s="20"/>
      <c r="D10" s="20"/>
      <c r="E10" s="20"/>
      <c r="F10" s="20"/>
      <c r="G10" s="20"/>
      <c r="H10" s="20"/>
      <c r="I10" s="20"/>
      <c r="J10" s="20"/>
      <c r="K10" s="20"/>
      <c r="L10"/>
      <c r="N10"/>
      <c r="P10"/>
      <c r="Q10"/>
      <c r="R10"/>
      <c r="S10"/>
      <c r="T10"/>
      <c r="U10"/>
      <c r="V10"/>
      <c r="W10"/>
      <c r="X10"/>
      <c r="Y10"/>
      <c r="Z10"/>
      <c r="AA10"/>
      <c r="AB10"/>
      <c r="AC10"/>
    </row>
    <row r="11" spans="2:74" x14ac:dyDescent="0.25">
      <c r="F11"/>
      <c r="G11"/>
      <c r="H11"/>
      <c r="I11"/>
      <c r="J11"/>
      <c r="K11"/>
      <c r="L11"/>
      <c r="N11"/>
      <c r="P11"/>
      <c r="Q11"/>
      <c r="R11"/>
      <c r="S11"/>
      <c r="T11"/>
      <c r="U11"/>
      <c r="V11"/>
      <c r="W11"/>
      <c r="X11"/>
      <c r="Y11"/>
      <c r="Z11"/>
      <c r="AA11"/>
      <c r="AB11"/>
      <c r="AC11"/>
    </row>
    <row r="12" spans="2:74" x14ac:dyDescent="0.25">
      <c r="F12"/>
      <c r="G12"/>
      <c r="H12"/>
      <c r="I12"/>
      <c r="J12"/>
      <c r="K12"/>
      <c r="L12"/>
      <c r="N12"/>
      <c r="P12" s="14" t="s">
        <v>60</v>
      </c>
      <c r="Q12" t="s">
        <v>192</v>
      </c>
      <c r="R12"/>
      <c r="S12"/>
      <c r="T12"/>
      <c r="U12"/>
      <c r="V12"/>
      <c r="W12"/>
      <c r="X12"/>
      <c r="Y12"/>
      <c r="Z12"/>
      <c r="AA12"/>
      <c r="AB12"/>
      <c r="AC12"/>
    </row>
    <row r="13" spans="2:74" x14ac:dyDescent="0.25">
      <c r="F13"/>
      <c r="G13" s="11"/>
      <c r="H13"/>
      <c r="I13"/>
      <c r="J13"/>
      <c r="K13"/>
      <c r="L13"/>
      <c r="M13"/>
      <c r="N13"/>
      <c r="O13"/>
      <c r="P13"/>
      <c r="Q13"/>
      <c r="R13"/>
      <c r="S13"/>
      <c r="T13"/>
      <c r="U13"/>
      <c r="V13"/>
      <c r="W13"/>
      <c r="X13"/>
      <c r="Y13"/>
      <c r="Z13"/>
      <c r="AA13"/>
      <c r="AB13"/>
      <c r="AC13"/>
    </row>
    <row r="14" spans="2:74" x14ac:dyDescent="0.25">
      <c r="F14"/>
      <c r="G14"/>
      <c r="H14"/>
      <c r="I14"/>
      <c r="J14"/>
      <c r="K14"/>
      <c r="L14"/>
      <c r="M14"/>
      <c r="N14"/>
      <c r="P14" s="9" t="s">
        <v>191</v>
      </c>
      <c r="Q14"/>
      <c r="R14"/>
      <c r="S14"/>
      <c r="T14"/>
      <c r="U14"/>
      <c r="V14"/>
      <c r="W14"/>
      <c r="X14"/>
      <c r="Y14"/>
      <c r="Z14"/>
      <c r="AA14"/>
      <c r="AB14"/>
      <c r="AC14"/>
    </row>
    <row r="15" spans="2:74" x14ac:dyDescent="0.25">
      <c r="F15"/>
      <c r="G15"/>
      <c r="H15"/>
      <c r="I15"/>
      <c r="J15"/>
      <c r="K15"/>
      <c r="L15"/>
      <c r="M15"/>
      <c r="N15"/>
      <c r="P15" s="17" t="s">
        <v>181</v>
      </c>
      <c r="Q15" s="18">
        <v>236</v>
      </c>
      <c r="R15"/>
      <c r="S15"/>
      <c r="T15"/>
      <c r="U15"/>
      <c r="V15"/>
      <c r="W15"/>
      <c r="X15"/>
      <c r="Y15"/>
      <c r="Z15"/>
      <c r="AA15"/>
      <c r="AB15"/>
      <c r="AC15"/>
    </row>
    <row r="16" spans="2:74" ht="30" x14ac:dyDescent="0.25">
      <c r="B16" s="13" t="s">
        <v>117</v>
      </c>
      <c r="C16" t="s">
        <v>116</v>
      </c>
      <c r="D16"/>
      <c r="E16"/>
      <c r="F16"/>
      <c r="H16" s="14" t="s">
        <v>60</v>
      </c>
      <c r="I16" t="s">
        <v>189</v>
      </c>
      <c r="J16" t="s">
        <v>190</v>
      </c>
      <c r="K16" t="s">
        <v>116</v>
      </c>
      <c r="P16" s="17" t="s">
        <v>178</v>
      </c>
      <c r="Q16" s="18">
        <v>205</v>
      </c>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row>
    <row r="17" spans="2:74" ht="15" customHeight="1" x14ac:dyDescent="0.25">
      <c r="B17" s="10" t="s">
        <v>65</v>
      </c>
      <c r="C17" s="12">
        <v>0.68052930056710748</v>
      </c>
      <c r="D17"/>
      <c r="E17"/>
      <c r="F17"/>
      <c r="H17" s="10" t="s">
        <v>66</v>
      </c>
      <c r="I17" s="1">
        <v>228</v>
      </c>
      <c r="J17" s="1">
        <v>156</v>
      </c>
      <c r="K17" s="12">
        <v>0.66839378238341962</v>
      </c>
      <c r="P17" s="17" t="s">
        <v>180</v>
      </c>
      <c r="Q17" s="18">
        <v>197</v>
      </c>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row>
    <row r="18" spans="2:74" ht="15" customHeight="1" x14ac:dyDescent="0.25">
      <c r="B18" s="10" t="s">
        <v>70</v>
      </c>
      <c r="C18" s="12">
        <v>0.676056338028169</v>
      </c>
      <c r="D18"/>
      <c r="E18"/>
      <c r="F18"/>
      <c r="H18" s="10" t="s">
        <v>68</v>
      </c>
      <c r="I18" s="1">
        <v>69</v>
      </c>
      <c r="J18" s="1">
        <v>138</v>
      </c>
      <c r="K18" s="12">
        <v>0.66985645933014348</v>
      </c>
      <c r="P18" s="17" t="s">
        <v>176</v>
      </c>
      <c r="Q18" s="18">
        <v>160</v>
      </c>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row>
    <row r="19" spans="2:74" ht="15" customHeight="1" x14ac:dyDescent="0.25">
      <c r="B19" s="10" t="s">
        <v>67</v>
      </c>
      <c r="C19" s="12">
        <v>0.64562410329985664</v>
      </c>
      <c r="D19"/>
      <c r="E19"/>
      <c r="H19" s="10" t="s">
        <v>69</v>
      </c>
      <c r="I19" s="1">
        <v>94</v>
      </c>
      <c r="J19" s="1">
        <v>113</v>
      </c>
      <c r="K19" s="12">
        <v>0.62018348623853214</v>
      </c>
      <c r="P19" s="17" t="s">
        <v>182</v>
      </c>
      <c r="Q19" s="18">
        <v>115</v>
      </c>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row>
    <row r="20" spans="2:74" ht="15" customHeight="1" x14ac:dyDescent="0.25">
      <c r="B20" s="10" t="s">
        <v>71</v>
      </c>
      <c r="C20" s="12">
        <v>0.63885267275097779</v>
      </c>
      <c r="D20"/>
      <c r="E20"/>
      <c r="H20" s="10" t="s">
        <v>64</v>
      </c>
      <c r="I20" s="1">
        <v>192</v>
      </c>
      <c r="J20" s="1">
        <v>140</v>
      </c>
      <c r="K20" s="12">
        <v>0.60941176470588232</v>
      </c>
      <c r="P20" s="17" t="s">
        <v>186</v>
      </c>
      <c r="Q20" s="18">
        <v>67</v>
      </c>
      <c r="R20"/>
      <c r="S20"/>
      <c r="T20"/>
      <c r="U20"/>
      <c r="V20"/>
      <c r="W20"/>
      <c r="X20"/>
      <c r="Y20"/>
      <c r="Z20"/>
      <c r="AA20"/>
    </row>
    <row r="21" spans="2:74" ht="15" customHeight="1" x14ac:dyDescent="0.25">
      <c r="B21" s="10" t="s">
        <v>63</v>
      </c>
      <c r="C21" s="12">
        <v>0.44444444444444442</v>
      </c>
      <c r="D21"/>
      <c r="E21"/>
      <c r="H21" s="10" t="s">
        <v>115</v>
      </c>
      <c r="I21" s="1">
        <v>583</v>
      </c>
      <c r="J21" s="1">
        <v>547</v>
      </c>
      <c r="K21" s="12">
        <v>0.64465408805031443</v>
      </c>
      <c r="P21" s="17" t="s">
        <v>179</v>
      </c>
      <c r="Q21" s="18">
        <v>57</v>
      </c>
      <c r="R21"/>
      <c r="S21"/>
      <c r="T21"/>
      <c r="U21"/>
      <c r="V21"/>
      <c r="W21"/>
      <c r="X21"/>
      <c r="Y21"/>
      <c r="Z21"/>
      <c r="AA21"/>
    </row>
    <row r="22" spans="2:74" ht="15" customHeight="1" x14ac:dyDescent="0.25">
      <c r="B22" s="10" t="s">
        <v>115</v>
      </c>
      <c r="C22" s="19">
        <v>0.64465408805031432</v>
      </c>
      <c r="D22"/>
      <c r="E22"/>
      <c r="J22"/>
      <c r="K22"/>
      <c r="L22"/>
      <c r="M22"/>
      <c r="P22" s="17" t="s">
        <v>184</v>
      </c>
      <c r="Q22" s="18">
        <v>34</v>
      </c>
      <c r="R22"/>
      <c r="S22"/>
      <c r="T22"/>
    </row>
    <row r="23" spans="2:74" ht="15" customHeight="1" x14ac:dyDescent="0.25">
      <c r="K23"/>
      <c r="L23"/>
      <c r="M23"/>
      <c r="P23" s="17" t="s">
        <v>177</v>
      </c>
      <c r="Q23" s="18">
        <v>22</v>
      </c>
      <c r="R23"/>
      <c r="S23"/>
      <c r="T23"/>
    </row>
    <row r="24" spans="2:74" ht="15" customHeight="1" x14ac:dyDescent="0.25">
      <c r="K24"/>
      <c r="L24"/>
      <c r="M24"/>
      <c r="P24" s="17" t="s">
        <v>185</v>
      </c>
      <c r="Q24" s="18">
        <v>20</v>
      </c>
      <c r="R24"/>
      <c r="S24"/>
      <c r="T24"/>
    </row>
    <row r="25" spans="2:74" ht="15" customHeight="1" x14ac:dyDescent="0.25">
      <c r="K25"/>
      <c r="L25"/>
      <c r="M25"/>
      <c r="P25" s="17" t="s">
        <v>183</v>
      </c>
      <c r="Q25" s="18">
        <v>17</v>
      </c>
      <c r="R25"/>
      <c r="S25"/>
      <c r="T25"/>
    </row>
    <row r="26" spans="2:74" ht="15" customHeight="1" x14ac:dyDescent="0.25">
      <c r="K26"/>
      <c r="L26"/>
      <c r="M26"/>
      <c r="P26" s="17" t="s">
        <v>175</v>
      </c>
      <c r="Q26" s="18">
        <v>0</v>
      </c>
      <c r="R26"/>
      <c r="S26"/>
      <c r="T26"/>
    </row>
    <row r="27" spans="2:74" ht="15" customHeight="1" x14ac:dyDescent="0.25">
      <c r="K27"/>
      <c r="L27"/>
      <c r="M27"/>
      <c r="R27"/>
      <c r="S27"/>
      <c r="T27"/>
    </row>
    <row r="28" spans="2:74" ht="15" customHeight="1" x14ac:dyDescent="0.25">
      <c r="K28"/>
      <c r="L28"/>
      <c r="M28"/>
      <c r="R28"/>
      <c r="S28"/>
      <c r="T28"/>
    </row>
    <row r="29" spans="2:74" ht="15" customHeight="1" x14ac:dyDescent="0.25">
      <c r="K29"/>
      <c r="L29"/>
      <c r="M29"/>
      <c r="O29"/>
      <c r="P29"/>
      <c r="Q29"/>
      <c r="R29"/>
      <c r="S29"/>
      <c r="T29"/>
    </row>
    <row r="30" spans="2:74" x14ac:dyDescent="0.25">
      <c r="B30" s="4" t="s">
        <v>187</v>
      </c>
      <c r="K30"/>
      <c r="L30"/>
      <c r="M30"/>
      <c r="P30" s="26" t="s">
        <v>200</v>
      </c>
      <c r="Q30" s="26"/>
      <c r="R30" s="26"/>
      <c r="S30" s="26"/>
      <c r="T30" s="26"/>
    </row>
    <row r="31" spans="2:74" x14ac:dyDescent="0.25">
      <c r="K31"/>
      <c r="L31"/>
      <c r="M31"/>
      <c r="P31" s="26"/>
      <c r="Q31" s="26"/>
      <c r="R31" s="26"/>
      <c r="S31" s="26"/>
      <c r="T31" s="26"/>
    </row>
    <row r="32" spans="2:74" ht="45" customHeight="1" x14ac:dyDescent="0.25">
      <c r="B32" s="14" t="s">
        <v>60</v>
      </c>
      <c r="C32" s="17" t="s">
        <v>181</v>
      </c>
      <c r="D32" s="17" t="s">
        <v>178</v>
      </c>
      <c r="E32" s="17" t="s">
        <v>180</v>
      </c>
      <c r="F32" s="17" t="s">
        <v>176</v>
      </c>
      <c r="G32" s="17" t="s">
        <v>182</v>
      </c>
      <c r="H32" s="17" t="s">
        <v>186</v>
      </c>
      <c r="I32" s="17" t="s">
        <v>179</v>
      </c>
      <c r="J32" s="17" t="s">
        <v>184</v>
      </c>
      <c r="K32" s="17" t="s">
        <v>177</v>
      </c>
      <c r="L32" s="17" t="s">
        <v>185</v>
      </c>
      <c r="M32" s="17" t="s">
        <v>183</v>
      </c>
      <c r="N32" s="17" t="s">
        <v>175</v>
      </c>
      <c r="P32" s="26"/>
      <c r="Q32" s="26"/>
      <c r="R32" s="26"/>
      <c r="S32" s="26"/>
      <c r="T32" s="26"/>
      <c r="X32"/>
      <c r="Y32"/>
      <c r="Z32"/>
      <c r="AA32"/>
      <c r="AB32"/>
      <c r="AC32"/>
      <c r="AD32"/>
      <c r="AE32"/>
      <c r="AF32"/>
      <c r="AG32"/>
      <c r="AH32"/>
      <c r="AI32"/>
      <c r="AJ32"/>
      <c r="AK32"/>
      <c r="AL32"/>
    </row>
    <row r="33" spans="2:38" x14ac:dyDescent="0.25">
      <c r="B33" s="10" t="s">
        <v>66</v>
      </c>
      <c r="C33" s="18">
        <v>85</v>
      </c>
      <c r="D33" s="18">
        <v>17</v>
      </c>
      <c r="E33" s="18">
        <v>118</v>
      </c>
      <c r="F33" s="18">
        <v>10</v>
      </c>
      <c r="G33" s="18">
        <v>44</v>
      </c>
      <c r="H33" s="18">
        <v>32</v>
      </c>
      <c r="I33" s="18">
        <v>22</v>
      </c>
      <c r="J33" s="18">
        <v>24</v>
      </c>
      <c r="K33" s="18">
        <v>22</v>
      </c>
      <c r="L33" s="18">
        <v>10</v>
      </c>
      <c r="M33" s="18">
        <v>0</v>
      </c>
      <c r="N33" s="18">
        <v>0</v>
      </c>
      <c r="P33" s="26"/>
      <c r="Q33" s="26"/>
      <c r="R33" s="26"/>
      <c r="S33" s="26"/>
      <c r="T33" s="26"/>
      <c r="X33"/>
      <c r="Y33"/>
      <c r="Z33"/>
      <c r="AA33"/>
      <c r="AB33"/>
      <c r="AC33"/>
      <c r="AD33"/>
      <c r="AE33"/>
      <c r="AF33"/>
      <c r="AG33"/>
      <c r="AH33"/>
      <c r="AI33"/>
      <c r="AJ33"/>
      <c r="AK33"/>
      <c r="AL33"/>
    </row>
    <row r="34" spans="2:38" x14ac:dyDescent="0.25">
      <c r="B34" s="10" t="s">
        <v>68</v>
      </c>
      <c r="C34" s="18">
        <v>36</v>
      </c>
      <c r="D34" s="18">
        <v>65</v>
      </c>
      <c r="E34" s="18">
        <v>14</v>
      </c>
      <c r="F34" s="18">
        <v>20</v>
      </c>
      <c r="G34" s="18">
        <v>0</v>
      </c>
      <c r="H34" s="18">
        <v>20</v>
      </c>
      <c r="I34" s="18">
        <v>15</v>
      </c>
      <c r="J34" s="18">
        <v>10</v>
      </c>
      <c r="K34" s="18">
        <v>0</v>
      </c>
      <c r="L34" s="18">
        <v>10</v>
      </c>
      <c r="M34" s="18">
        <v>17</v>
      </c>
      <c r="N34" s="18">
        <v>0</v>
      </c>
      <c r="P34" s="26"/>
      <c r="Q34" s="26"/>
      <c r="R34" s="26"/>
      <c r="S34" s="26"/>
      <c r="T34" s="26"/>
      <c r="X34"/>
      <c r="Y34"/>
      <c r="Z34"/>
      <c r="AA34"/>
      <c r="AB34"/>
      <c r="AC34"/>
      <c r="AD34"/>
      <c r="AE34"/>
      <c r="AF34"/>
      <c r="AG34"/>
      <c r="AH34"/>
      <c r="AI34"/>
      <c r="AJ34"/>
      <c r="AK34"/>
      <c r="AL34"/>
    </row>
    <row r="35" spans="2:38" x14ac:dyDescent="0.25">
      <c r="B35" s="10" t="s">
        <v>69</v>
      </c>
      <c r="C35" s="18">
        <v>70</v>
      </c>
      <c r="D35" s="18">
        <v>43</v>
      </c>
      <c r="E35" s="18">
        <v>50</v>
      </c>
      <c r="F35" s="18">
        <v>0</v>
      </c>
      <c r="G35" s="18">
        <v>24</v>
      </c>
      <c r="H35" s="18">
        <v>0</v>
      </c>
      <c r="I35" s="18">
        <v>20</v>
      </c>
      <c r="J35" s="18">
        <v>0</v>
      </c>
      <c r="K35" s="18">
        <v>0</v>
      </c>
      <c r="L35" s="18">
        <v>0</v>
      </c>
      <c r="M35" s="18">
        <v>0</v>
      </c>
      <c r="N35" s="18">
        <v>0</v>
      </c>
      <c r="P35" s="26"/>
      <c r="Q35" s="26"/>
      <c r="R35" s="26"/>
      <c r="S35" s="26"/>
      <c r="T35" s="26"/>
      <c r="X35"/>
      <c r="Y35"/>
      <c r="Z35"/>
      <c r="AA35"/>
      <c r="AB35"/>
      <c r="AC35"/>
      <c r="AD35"/>
      <c r="AE35"/>
      <c r="AF35"/>
      <c r="AG35"/>
      <c r="AH35"/>
      <c r="AI35"/>
      <c r="AJ35"/>
      <c r="AK35"/>
      <c r="AL35"/>
    </row>
    <row r="36" spans="2:38" x14ac:dyDescent="0.25">
      <c r="B36" s="10" t="s">
        <v>64</v>
      </c>
      <c r="C36" s="18">
        <v>45</v>
      </c>
      <c r="D36" s="18">
        <v>80</v>
      </c>
      <c r="E36" s="18">
        <v>15</v>
      </c>
      <c r="F36" s="18">
        <v>130</v>
      </c>
      <c r="G36" s="18">
        <v>47</v>
      </c>
      <c r="H36" s="18">
        <v>15</v>
      </c>
      <c r="I36" s="18">
        <v>0</v>
      </c>
      <c r="J36" s="18">
        <v>0</v>
      </c>
      <c r="K36" s="18">
        <v>0</v>
      </c>
      <c r="L36" s="18">
        <v>0</v>
      </c>
      <c r="M36" s="18">
        <v>0</v>
      </c>
      <c r="N36" s="18">
        <v>0</v>
      </c>
      <c r="P36" s="26"/>
      <c r="Q36" s="26"/>
      <c r="R36" s="26"/>
      <c r="S36" s="26"/>
      <c r="T36" s="26"/>
      <c r="X36"/>
      <c r="Y36"/>
      <c r="Z36"/>
      <c r="AA36"/>
      <c r="AB36"/>
      <c r="AC36"/>
      <c r="AD36"/>
      <c r="AE36"/>
      <c r="AF36"/>
      <c r="AG36"/>
      <c r="AH36"/>
      <c r="AI36"/>
      <c r="AJ36"/>
      <c r="AK36"/>
      <c r="AL36"/>
    </row>
    <row r="37" spans="2:38" x14ac:dyDescent="0.25">
      <c r="B37" s="10" t="s">
        <v>115</v>
      </c>
      <c r="C37" s="18">
        <v>236</v>
      </c>
      <c r="D37" s="18">
        <v>205</v>
      </c>
      <c r="E37" s="18">
        <v>197</v>
      </c>
      <c r="F37" s="18">
        <v>160</v>
      </c>
      <c r="G37" s="18">
        <v>115</v>
      </c>
      <c r="H37" s="18">
        <v>67</v>
      </c>
      <c r="I37" s="18">
        <v>57</v>
      </c>
      <c r="J37" s="18">
        <v>34</v>
      </c>
      <c r="K37" s="18">
        <v>22</v>
      </c>
      <c r="L37" s="18">
        <v>20</v>
      </c>
      <c r="M37" s="18">
        <v>17</v>
      </c>
      <c r="N37" s="18">
        <v>0</v>
      </c>
      <c r="P37" s="26"/>
      <c r="Q37" s="26"/>
      <c r="R37" s="26"/>
      <c r="S37" s="26"/>
      <c r="T37" s="26"/>
      <c r="X37"/>
      <c r="Y37"/>
      <c r="Z37"/>
      <c r="AA37"/>
      <c r="AB37"/>
      <c r="AC37"/>
    </row>
    <row r="38" spans="2:38" x14ac:dyDescent="0.25">
      <c r="K38"/>
      <c r="L38"/>
      <c r="M38"/>
      <c r="N38"/>
      <c r="O38"/>
      <c r="P38"/>
      <c r="Q38"/>
      <c r="R38"/>
      <c r="S38"/>
      <c r="T38"/>
      <c r="U38"/>
      <c r="V38"/>
      <c r="W38"/>
      <c r="X38"/>
      <c r="Y38"/>
      <c r="Z38"/>
      <c r="AA38"/>
      <c r="AB38"/>
      <c r="AC38"/>
    </row>
    <row r="39" spans="2:38" x14ac:dyDescent="0.25">
      <c r="K39"/>
      <c r="L39"/>
      <c r="M39"/>
      <c r="N39"/>
      <c r="O39"/>
      <c r="P39"/>
      <c r="Q39"/>
      <c r="R39"/>
      <c r="S39"/>
      <c r="T39"/>
      <c r="U39"/>
      <c r="V39"/>
      <c r="W39"/>
      <c r="X39"/>
    </row>
    <row r="40" spans="2:38" x14ac:dyDescent="0.25">
      <c r="K40"/>
      <c r="L40"/>
      <c r="M40"/>
      <c r="N40"/>
      <c r="O40"/>
      <c r="P40" s="26" t="s">
        <v>206</v>
      </c>
      <c r="Q40" s="26"/>
      <c r="R40" s="26"/>
      <c r="S40" s="26"/>
      <c r="T40" s="26"/>
      <c r="U40"/>
      <c r="V40"/>
      <c r="W40"/>
      <c r="X40"/>
    </row>
    <row r="41" spans="2:38" x14ac:dyDescent="0.25">
      <c r="K41"/>
      <c r="L41"/>
      <c r="M41"/>
      <c r="N41"/>
      <c r="O41"/>
      <c r="P41" s="26"/>
      <c r="Q41" s="26"/>
      <c r="R41" s="26"/>
      <c r="S41" s="26"/>
      <c r="T41" s="26"/>
    </row>
    <row r="42" spans="2:38" x14ac:dyDescent="0.25">
      <c r="K42"/>
      <c r="L42"/>
      <c r="M42"/>
      <c r="N42"/>
      <c r="O42"/>
      <c r="P42" s="26" t="s">
        <v>201</v>
      </c>
      <c r="Q42" s="26"/>
      <c r="R42" s="26"/>
      <c r="S42" s="26"/>
      <c r="T42" s="26"/>
    </row>
    <row r="43" spans="2:38" x14ac:dyDescent="0.25">
      <c r="K43"/>
      <c r="L43"/>
      <c r="M43"/>
      <c r="N43"/>
      <c r="O43"/>
      <c r="P43" s="26"/>
      <c r="Q43" s="26"/>
      <c r="R43" s="26"/>
      <c r="S43" s="26"/>
      <c r="T43" s="26"/>
    </row>
    <row r="44" spans="2:38" x14ac:dyDescent="0.25">
      <c r="K44"/>
      <c r="L44"/>
      <c r="M44"/>
      <c r="N44"/>
      <c r="O44"/>
      <c r="P44" s="26" t="s">
        <v>202</v>
      </c>
      <c r="Q44" s="26"/>
      <c r="R44" s="26"/>
      <c r="S44" s="26"/>
      <c r="T44" s="26"/>
    </row>
    <row r="45" spans="2:38" x14ac:dyDescent="0.25">
      <c r="K45"/>
      <c r="L45"/>
      <c r="M45"/>
      <c r="N45"/>
      <c r="O45"/>
      <c r="P45" s="26" t="s">
        <v>203</v>
      </c>
      <c r="Q45" s="26"/>
      <c r="R45" s="26"/>
      <c r="S45" s="26"/>
      <c r="T45" s="26"/>
    </row>
    <row r="46" spans="2:38" x14ac:dyDescent="0.25">
      <c r="K46"/>
      <c r="L46"/>
      <c r="M46"/>
      <c r="N46"/>
      <c r="O46"/>
      <c r="P46" s="26" t="s">
        <v>204</v>
      </c>
      <c r="Q46" s="26"/>
      <c r="R46" s="26"/>
      <c r="S46" s="26"/>
      <c r="T46" s="26"/>
    </row>
    <row r="47" spans="2:38" x14ac:dyDescent="0.25">
      <c r="P47" s="26" t="s">
        <v>205</v>
      </c>
      <c r="Q47" s="26"/>
      <c r="R47" s="26"/>
      <c r="S47" s="26"/>
      <c r="T47" s="26"/>
    </row>
  </sheetData>
  <sortState xmlns:xlrd2="http://schemas.microsoft.com/office/spreadsheetml/2017/richdata2" ref="O16:T29">
    <sortCondition descending="1" ref="T18"/>
  </sortState>
  <mergeCells count="3">
    <mergeCell ref="P40:T47"/>
    <mergeCell ref="B1:K10"/>
    <mergeCell ref="P30:T37"/>
  </mergeCells>
  <conditionalFormatting pivot="1" sqref="C33:N3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0" verticalDpi="0"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D2D7C-DDEE-4298-93B1-C9B1B2CFE5A6}">
  <dimension ref="A1:Y37"/>
  <sheetViews>
    <sheetView topLeftCell="K6" workbookViewId="0">
      <selection activeCell="L7" sqref="L7:L37"/>
    </sheetView>
  </sheetViews>
  <sheetFormatPr defaultRowHeight="15" x14ac:dyDescent="0.25"/>
  <cols>
    <col min="1" max="1" width="10.7109375" style="4" bestFit="1" customWidth="1"/>
    <col min="2" max="2" width="14" style="4" bestFit="1" customWidth="1"/>
    <col min="3" max="3" width="11.7109375" style="4" bestFit="1" customWidth="1"/>
    <col min="4" max="4" width="15.28515625" style="4" bestFit="1" customWidth="1"/>
    <col min="5" max="5" width="16.5703125" style="4" bestFit="1" customWidth="1"/>
    <col min="6" max="6" width="18.5703125" style="4" bestFit="1" customWidth="1"/>
    <col min="7" max="7" width="22.5703125" style="4" bestFit="1" customWidth="1"/>
    <col min="8" max="8" width="20.140625" style="4" bestFit="1" customWidth="1"/>
    <col min="9" max="9" width="21" style="4" bestFit="1" customWidth="1"/>
    <col min="10" max="10" width="26.28515625" style="4" bestFit="1" customWidth="1"/>
    <col min="11" max="11" width="19.28515625" style="4" bestFit="1" customWidth="1"/>
    <col min="12" max="12" width="27.7109375" style="4" bestFit="1" customWidth="1"/>
    <col min="13" max="13" width="22.7109375" style="4" bestFit="1" customWidth="1"/>
    <col min="14" max="14" width="26" style="4" bestFit="1" customWidth="1"/>
    <col min="15" max="15" width="25.140625" style="4" bestFit="1" customWidth="1"/>
    <col min="16" max="16" width="24" style="4" bestFit="1" customWidth="1"/>
    <col min="17" max="17" width="18.85546875" style="4" bestFit="1" customWidth="1"/>
    <col min="18" max="18" width="12" style="4" bestFit="1" customWidth="1"/>
    <col min="19" max="19" width="33.28515625" style="4" bestFit="1" customWidth="1"/>
    <col min="20" max="20" width="38.140625" style="4" bestFit="1" customWidth="1"/>
    <col min="21" max="21" width="8.85546875" style="4" bestFit="1" customWidth="1"/>
    <col min="22" max="22" width="8.5703125" style="4" bestFit="1" customWidth="1"/>
    <col min="23" max="23" width="8.7109375" style="4" bestFit="1" customWidth="1"/>
    <col min="24" max="16384" width="9.140625" style="4"/>
  </cols>
  <sheetData>
    <row r="1" spans="1:25" x14ac:dyDescent="0.25">
      <c r="A1" s="4" t="s">
        <v>111</v>
      </c>
      <c r="B1" s="4" t="s">
        <v>106</v>
      </c>
    </row>
    <row r="2" spans="1:25" x14ac:dyDescent="0.25">
      <c r="B2" s="4" t="s">
        <v>107</v>
      </c>
    </row>
    <row r="3" spans="1:25" x14ac:dyDescent="0.25">
      <c r="B3" s="4" t="s">
        <v>108</v>
      </c>
    </row>
    <row r="4" spans="1:25" x14ac:dyDescent="0.25">
      <c r="B4" s="4" t="s">
        <v>109</v>
      </c>
    </row>
    <row r="6" spans="1:25" x14ac:dyDescent="0.25">
      <c r="A6" s="5" t="s">
        <v>58</v>
      </c>
      <c r="B6" s="5" t="s">
        <v>59</v>
      </c>
      <c r="C6" s="5" t="s">
        <v>17</v>
      </c>
      <c r="D6" s="5" t="s">
        <v>60</v>
      </c>
      <c r="E6" s="5" t="s">
        <v>61</v>
      </c>
      <c r="F6" s="5" t="s">
        <v>62</v>
      </c>
      <c r="G6" s="5" t="s">
        <v>119</v>
      </c>
      <c r="H6" s="5" t="s">
        <v>120</v>
      </c>
      <c r="I6" s="5" t="s">
        <v>121</v>
      </c>
      <c r="J6" s="5" t="s">
        <v>122</v>
      </c>
      <c r="K6" s="5" t="s">
        <v>123</v>
      </c>
      <c r="L6" s="5" t="s">
        <v>124</v>
      </c>
      <c r="M6" s="5" t="s">
        <v>125</v>
      </c>
      <c r="N6" s="5" t="s">
        <v>126</v>
      </c>
      <c r="O6" s="5" t="s">
        <v>127</v>
      </c>
      <c r="P6" s="5" t="s">
        <v>128</v>
      </c>
      <c r="Q6" s="5" t="s">
        <v>129</v>
      </c>
      <c r="R6" s="5" t="s">
        <v>16</v>
      </c>
      <c r="S6" s="5" t="s">
        <v>118</v>
      </c>
      <c r="T6" s="5" t="s">
        <v>188</v>
      </c>
      <c r="U6" s="5" t="s">
        <v>112</v>
      </c>
      <c r="V6" s="5" t="s">
        <v>113</v>
      </c>
      <c r="W6" s="5" t="s">
        <v>114</v>
      </c>
      <c r="Y6" s="15" t="s">
        <v>3</v>
      </c>
    </row>
    <row r="7" spans="1:25" x14ac:dyDescent="0.25">
      <c r="A7" s="6">
        <v>45533</v>
      </c>
      <c r="B7" s="7" t="s">
        <v>63</v>
      </c>
      <c r="C7" s="4">
        <v>422111</v>
      </c>
      <c r="D7" s="7" t="s">
        <v>64</v>
      </c>
      <c r="E7" s="8">
        <v>0.49305555555555558</v>
      </c>
      <c r="F7" s="8" t="s">
        <v>130</v>
      </c>
      <c r="G7" s="4">
        <f>SUMIFS(line_downtime[Column2],line_downtime[Column1],line_productivity7[[#This Row],[Batch]])</f>
        <v>0</v>
      </c>
      <c r="H7" s="4">
        <f>SUMIFS(line_downtime[Column3],line_downtime[Column1],line_productivity7[[#This Row],[Batch]])</f>
        <v>60</v>
      </c>
      <c r="I7" s="4">
        <f>SUMIFS(line_downtime[Column4],line_downtime[Column1],line_productivity7[[#This Row],[Batch]])</f>
        <v>0</v>
      </c>
      <c r="J7" s="4">
        <f>SUMIFS(line_downtime[Column5],line_downtime[Column1],line_productivity7[[#This Row],[Batch]])</f>
        <v>0</v>
      </c>
      <c r="K7" s="4">
        <f>SUMIFS(line_downtime[Column6],line_downtime[Column1],line_productivity7[[#This Row],[Batch]])</f>
        <v>0</v>
      </c>
      <c r="L7" s="4">
        <f>SUMIFS(line_downtime[Column7],line_downtime[Column1],line_productivity7[[#This Row],[Batch]])</f>
        <v>0</v>
      </c>
      <c r="M7" s="4">
        <f>SUMIFS(line_downtime[Column8],line_downtime[Column1],line_productivity7[[#This Row],[Batch]])</f>
        <v>15</v>
      </c>
      <c r="N7" s="4">
        <f>SUMIFS(line_downtime[Column9],line_downtime[Column1],line_productivity7[[#This Row],[Batch]])</f>
        <v>0</v>
      </c>
      <c r="O7" s="4">
        <f>SUMIFS(line_downtime[Column10],line_downtime[Column1],line_productivity7[[#This Row],[Batch]])</f>
        <v>0</v>
      </c>
      <c r="P7" s="4">
        <f>SUMIFS(line_downtime[Column11],line_downtime[Column1],line_productivity7[[#This Row],[Batch]])</f>
        <v>0</v>
      </c>
      <c r="Q7" s="4">
        <f>SUMIFS(line_downtime[Column12],line_downtime[Column1],line_productivity7[[#This Row],[Batch]])</f>
        <v>0</v>
      </c>
      <c r="R7" s="4">
        <f>SUMIFS(line_downtime[Column13],line_downtime[Column1],line_productivity7[[#This Row],[Batch]])</f>
        <v>0</v>
      </c>
      <c r="S7" s="4">
        <f>line_productivity7[[#This Row],[Batch Change]]+line_productivity7[[#This Row],[Product Spill]]+line_productivity7[[#This Row],[Machine Adjustment]]+line_productivity7[[#This Row],[Batch Coding Error]]+line_productivity7[[#This Row],[Calibration Error]]+line_productivity7[[#This Row],[Label Switch]]</f>
        <v>60</v>
      </c>
      <c r="T7" s="4">
        <f>line_productivity7[[#This Row],[Emergency Stop]]+line_productivity7[[#This Row],[Labeling Error]]+line_productivity7[[#This Row],[Inventory Shortage]]+line_productivity7[[#This Row],[Machine Failure]]+line_productivity7[[#This Row],[Conveyor Belt Jam]]+line_productivity7[[#This Row],[Other]]</f>
        <v>15</v>
      </c>
      <c r="U7" s="4">
        <f>SUM(line_productivity7[[#This Row],[Emergency Stop]:[Other]])</f>
        <v>75</v>
      </c>
      <c r="V7" s="7">
        <f>MOD(line_productivity7[[#This Row],[End Time]]-line_productivity7[[#This Row],[Start Time]],1)*1440</f>
        <v>135</v>
      </c>
      <c r="W7" s="4">
        <f>line_productivity7[[#This Row],[PT]]-line_productivity7[[#This Row],[TD]]</f>
        <v>60</v>
      </c>
      <c r="Y7" s="16" t="s">
        <v>5</v>
      </c>
    </row>
    <row r="8" spans="1:25" x14ac:dyDescent="0.25">
      <c r="A8" s="6">
        <v>45533</v>
      </c>
      <c r="B8" s="7" t="s">
        <v>65</v>
      </c>
      <c r="C8" s="4">
        <v>422112</v>
      </c>
      <c r="D8" s="7" t="s">
        <v>64</v>
      </c>
      <c r="E8" s="8">
        <v>0.58680555555555558</v>
      </c>
      <c r="F8" s="8" t="s">
        <v>131</v>
      </c>
      <c r="G8" s="4">
        <f>SUMIFS(line_downtime[Column2],line_downtime[Column1],line_productivity7[[#This Row],[Batch]])</f>
        <v>0</v>
      </c>
      <c r="H8" s="4">
        <f>SUMIFS(line_downtime[Column3],line_downtime[Column1],line_productivity7[[#This Row],[Batch]])</f>
        <v>20</v>
      </c>
      <c r="I8" s="4">
        <f>SUMIFS(line_downtime[Column4],line_downtime[Column1],line_productivity7[[#This Row],[Batch]])</f>
        <v>0</v>
      </c>
      <c r="J8" s="4">
        <f>SUMIFS(line_downtime[Column5],line_downtime[Column1],line_productivity7[[#This Row],[Batch]])</f>
        <v>0</v>
      </c>
      <c r="K8" s="4">
        <f>SUMIFS(line_downtime[Column6],line_downtime[Column1],line_productivity7[[#This Row],[Batch]])</f>
        <v>0</v>
      </c>
      <c r="L8" s="4">
        <f>SUMIFS(line_downtime[Column7],line_downtime[Column1],line_productivity7[[#This Row],[Batch]])</f>
        <v>0</v>
      </c>
      <c r="M8" s="4">
        <f>SUMIFS(line_downtime[Column8],line_downtime[Column1],line_productivity7[[#This Row],[Batch]])</f>
        <v>0</v>
      </c>
      <c r="N8" s="4">
        <f>SUMIFS(line_downtime[Column9],line_downtime[Column1],line_productivity7[[#This Row],[Batch]])</f>
        <v>20</v>
      </c>
      <c r="O8" s="4">
        <f>SUMIFS(line_downtime[Column10],line_downtime[Column1],line_productivity7[[#This Row],[Batch]])</f>
        <v>0</v>
      </c>
      <c r="P8" s="4">
        <f>SUMIFS(line_downtime[Column11],line_downtime[Column1],line_productivity7[[#This Row],[Batch]])</f>
        <v>0</v>
      </c>
      <c r="Q8" s="4">
        <f>SUMIFS(line_downtime[Column12],line_downtime[Column1],line_productivity7[[#This Row],[Batch]])</f>
        <v>0</v>
      </c>
      <c r="R8" s="4">
        <f>SUMIFS(line_downtime[Column13],line_downtime[Column1],line_productivity7[[#This Row],[Batch]])</f>
        <v>0</v>
      </c>
      <c r="S8" s="4">
        <f>line_productivity7[[#This Row],[Batch Change]]+line_productivity7[[#This Row],[Product Spill]]+line_productivity7[[#This Row],[Machine Adjustment]]+line_productivity7[[#This Row],[Batch Coding Error]]+line_productivity7[[#This Row],[Calibration Error]]+line_productivity7[[#This Row],[Label Switch]]</f>
        <v>40</v>
      </c>
      <c r="T8" s="4">
        <f>line_productivity7[[#This Row],[Emergency Stop]]+line_productivity7[[#This Row],[Labeling Error]]+line_productivity7[[#This Row],[Inventory Shortage]]+line_productivity7[[#This Row],[Machine Failure]]+line_productivity7[[#This Row],[Conveyor Belt Jam]]+line_productivity7[[#This Row],[Other]]</f>
        <v>0</v>
      </c>
      <c r="U8" s="4">
        <f>SUM(line_productivity7[[#This Row],[Emergency Stop]:[Other]])</f>
        <v>40</v>
      </c>
      <c r="V8" s="7">
        <f>MOD(line_productivity7[[#This Row],[End Time]]-line_productivity7[[#This Row],[Start Time]],1)*1440</f>
        <v>99.999999999999972</v>
      </c>
      <c r="W8" s="4">
        <f>line_productivity7[[#This Row],[PT]]-line_productivity7[[#This Row],[TD]]</f>
        <v>59.999999999999972</v>
      </c>
      <c r="Y8" s="15" t="s">
        <v>7</v>
      </c>
    </row>
    <row r="9" spans="1:25" x14ac:dyDescent="0.25">
      <c r="A9" s="6">
        <v>45533</v>
      </c>
      <c r="B9" s="7" t="s">
        <v>65</v>
      </c>
      <c r="C9" s="4">
        <v>422113</v>
      </c>
      <c r="D9" s="7" t="s">
        <v>64</v>
      </c>
      <c r="E9" s="8">
        <v>0.65625</v>
      </c>
      <c r="F9" s="8" t="s">
        <v>132</v>
      </c>
      <c r="G9" s="4">
        <f>SUMIFS(line_downtime[Column2],line_downtime[Column1],line_productivity7[[#This Row],[Batch]])</f>
        <v>0</v>
      </c>
      <c r="H9" s="4">
        <f>SUMIFS(line_downtime[Column3],line_downtime[Column1],line_productivity7[[#This Row],[Batch]])</f>
        <v>50</v>
      </c>
      <c r="I9" s="4">
        <f>SUMIFS(line_downtime[Column4],line_downtime[Column1],line_productivity7[[#This Row],[Batch]])</f>
        <v>0</v>
      </c>
      <c r="J9" s="4">
        <f>SUMIFS(line_downtime[Column5],line_downtime[Column1],line_productivity7[[#This Row],[Batch]])</f>
        <v>0</v>
      </c>
      <c r="K9" s="4">
        <f>SUMIFS(line_downtime[Column6],line_downtime[Column1],line_productivity7[[#This Row],[Batch]])</f>
        <v>0</v>
      </c>
      <c r="L9" s="4">
        <f>SUMIFS(line_downtime[Column7],line_downtime[Column1],line_productivity7[[#This Row],[Batch]])</f>
        <v>0</v>
      </c>
      <c r="M9" s="4">
        <f>SUMIFS(line_downtime[Column8],line_downtime[Column1],line_productivity7[[#This Row],[Batch]])</f>
        <v>0</v>
      </c>
      <c r="N9" s="4">
        <f>SUMIFS(line_downtime[Column9],line_downtime[Column1],line_productivity7[[#This Row],[Batch]])</f>
        <v>0</v>
      </c>
      <c r="O9" s="4">
        <f>SUMIFS(line_downtime[Column10],line_downtime[Column1],line_productivity7[[#This Row],[Batch]])</f>
        <v>0</v>
      </c>
      <c r="P9" s="4">
        <f>SUMIFS(line_downtime[Column11],line_downtime[Column1],line_productivity7[[#This Row],[Batch]])</f>
        <v>0</v>
      </c>
      <c r="Q9" s="4">
        <f>SUMIFS(line_downtime[Column12],line_downtime[Column1],line_productivity7[[#This Row],[Batch]])</f>
        <v>0</v>
      </c>
      <c r="R9" s="4">
        <f>SUMIFS(line_downtime[Column13],line_downtime[Column1],line_productivity7[[#This Row],[Batch]])</f>
        <v>0</v>
      </c>
      <c r="S9" s="4">
        <f>line_productivity7[[#This Row],[Batch Change]]+line_productivity7[[#This Row],[Product Spill]]+line_productivity7[[#This Row],[Machine Adjustment]]+line_productivity7[[#This Row],[Batch Coding Error]]+line_productivity7[[#This Row],[Calibration Error]]+line_productivity7[[#This Row],[Label Switch]]</f>
        <v>50</v>
      </c>
      <c r="T9" s="4">
        <f>line_productivity7[[#This Row],[Emergency Stop]]+line_productivity7[[#This Row],[Labeling Error]]+line_productivity7[[#This Row],[Inventory Shortage]]+line_productivity7[[#This Row],[Machine Failure]]+line_productivity7[[#This Row],[Conveyor Belt Jam]]+line_productivity7[[#This Row],[Other]]</f>
        <v>0</v>
      </c>
      <c r="U9" s="4">
        <f>SUM(line_productivity7[[#This Row],[Emergency Stop]:[Other]])</f>
        <v>50</v>
      </c>
      <c r="V9" s="7">
        <f>MOD(line_productivity7[[#This Row],[End Time]]-line_productivity7[[#This Row],[Start Time]],1)*1440</f>
        <v>109.99999999999993</v>
      </c>
      <c r="W9" s="4">
        <f>line_productivity7[[#This Row],[PT]]-line_productivity7[[#This Row],[TD]]</f>
        <v>59.999999999999929</v>
      </c>
      <c r="Y9" s="16" t="s">
        <v>8</v>
      </c>
    </row>
    <row r="10" spans="1:25" x14ac:dyDescent="0.25">
      <c r="A10" s="6">
        <v>45533</v>
      </c>
      <c r="B10" s="7" t="s">
        <v>65</v>
      </c>
      <c r="C10" s="4">
        <v>422114</v>
      </c>
      <c r="D10" s="7" t="s">
        <v>64</v>
      </c>
      <c r="E10" s="8">
        <v>0.73263888888888884</v>
      </c>
      <c r="F10" s="8" t="s">
        <v>133</v>
      </c>
      <c r="G10" s="4">
        <f>SUMIFS(line_downtime[Column2],line_downtime[Column1],line_productivity7[[#This Row],[Batch]])</f>
        <v>0</v>
      </c>
      <c r="H10" s="4">
        <f>SUMIFS(line_downtime[Column3],line_downtime[Column1],line_productivity7[[#This Row],[Batch]])</f>
        <v>0</v>
      </c>
      <c r="I10" s="4">
        <f>SUMIFS(line_downtime[Column4],line_downtime[Column1],line_productivity7[[#This Row],[Batch]])</f>
        <v>0</v>
      </c>
      <c r="J10" s="4">
        <f>SUMIFS(line_downtime[Column5],line_downtime[Column1],line_productivity7[[#This Row],[Batch]])</f>
        <v>25</v>
      </c>
      <c r="K10" s="4">
        <f>SUMIFS(line_downtime[Column6],line_downtime[Column1],line_productivity7[[#This Row],[Batch]])</f>
        <v>0</v>
      </c>
      <c r="L10" s="4">
        <f>SUMIFS(line_downtime[Column7],line_downtime[Column1],line_productivity7[[#This Row],[Batch]])</f>
        <v>15</v>
      </c>
      <c r="M10" s="4">
        <f>SUMIFS(line_downtime[Column8],line_downtime[Column1],line_productivity7[[#This Row],[Batch]])</f>
        <v>0</v>
      </c>
      <c r="N10" s="4">
        <f>SUMIFS(line_downtime[Column9],line_downtime[Column1],line_productivity7[[#This Row],[Batch]])</f>
        <v>0</v>
      </c>
      <c r="O10" s="4">
        <f>SUMIFS(line_downtime[Column10],line_downtime[Column1],line_productivity7[[#This Row],[Batch]])</f>
        <v>0</v>
      </c>
      <c r="P10" s="4">
        <f>SUMIFS(line_downtime[Column11],line_downtime[Column1],line_productivity7[[#This Row],[Batch]])</f>
        <v>0</v>
      </c>
      <c r="Q10" s="4">
        <f>SUMIFS(line_downtime[Column12],line_downtime[Column1],line_productivity7[[#This Row],[Batch]])</f>
        <v>0</v>
      </c>
      <c r="R10" s="4">
        <f>SUMIFS(line_downtime[Column13],line_downtime[Column1],line_productivity7[[#This Row],[Batch]])</f>
        <v>0</v>
      </c>
      <c r="S10" s="4">
        <f>line_productivity7[[#This Row],[Batch Change]]+line_productivity7[[#This Row],[Product Spill]]+line_productivity7[[#This Row],[Machine Adjustment]]+line_productivity7[[#This Row],[Batch Coding Error]]+line_productivity7[[#This Row],[Calibration Error]]+line_productivity7[[#This Row],[Label Switch]]</f>
        <v>15</v>
      </c>
      <c r="T10" s="4">
        <f>line_productivity7[[#This Row],[Emergency Stop]]+line_productivity7[[#This Row],[Labeling Error]]+line_productivity7[[#This Row],[Inventory Shortage]]+line_productivity7[[#This Row],[Machine Failure]]+line_productivity7[[#This Row],[Conveyor Belt Jam]]+line_productivity7[[#This Row],[Other]]</f>
        <v>25</v>
      </c>
      <c r="U10" s="4">
        <f>SUM(line_productivity7[[#This Row],[Emergency Stop]:[Other]])</f>
        <v>40</v>
      </c>
      <c r="V10" s="7">
        <f>MOD(line_productivity7[[#This Row],[End Time]]-line_productivity7[[#This Row],[Start Time]],1)*1440</f>
        <v>100.00000000000013</v>
      </c>
      <c r="W10" s="4">
        <f>line_productivity7[[#This Row],[PT]]-line_productivity7[[#This Row],[TD]]</f>
        <v>60.000000000000128</v>
      </c>
      <c r="Y10" s="15" t="s">
        <v>9</v>
      </c>
    </row>
    <row r="11" spans="1:25" x14ac:dyDescent="0.25">
      <c r="A11" s="6">
        <v>45533</v>
      </c>
      <c r="B11" s="7" t="s">
        <v>65</v>
      </c>
      <c r="C11" s="4">
        <v>422115</v>
      </c>
      <c r="D11" s="7" t="s">
        <v>66</v>
      </c>
      <c r="E11" s="8">
        <v>0.80208333333333337</v>
      </c>
      <c r="F11" s="8" t="s">
        <v>134</v>
      </c>
      <c r="G11" s="4">
        <f>SUMIFS(line_downtime[Column2],line_downtime[Column1],line_productivity7[[#This Row],[Batch]])</f>
        <v>0</v>
      </c>
      <c r="H11" s="4">
        <f>SUMIFS(line_downtime[Column3],line_downtime[Column1],line_productivity7[[#This Row],[Batch]])</f>
        <v>0</v>
      </c>
      <c r="I11" s="4">
        <f>SUMIFS(line_downtime[Column4],line_downtime[Column1],line_productivity7[[#This Row],[Batch]])</f>
        <v>0</v>
      </c>
      <c r="J11" s="4">
        <f>SUMIFS(line_downtime[Column5],line_downtime[Column1],line_productivity7[[#This Row],[Batch]])</f>
        <v>0</v>
      </c>
      <c r="K11" s="4">
        <f>SUMIFS(line_downtime[Column6],line_downtime[Column1],line_productivity7[[#This Row],[Batch]])</f>
        <v>0</v>
      </c>
      <c r="L11" s="4">
        <f>SUMIFS(line_downtime[Column7],line_downtime[Column1],line_productivity7[[#This Row],[Batch]])</f>
        <v>0</v>
      </c>
      <c r="M11" s="4">
        <f>SUMIFS(line_downtime[Column8],line_downtime[Column1],line_productivity7[[#This Row],[Batch]])</f>
        <v>0</v>
      </c>
      <c r="N11" s="4">
        <f>SUMIFS(line_downtime[Column9],line_downtime[Column1],line_productivity7[[#This Row],[Batch]])</f>
        <v>0</v>
      </c>
      <c r="O11" s="4">
        <f>SUMIFS(line_downtime[Column10],line_downtime[Column1],line_productivity7[[#This Row],[Batch]])</f>
        <v>0</v>
      </c>
      <c r="P11" s="4">
        <f>SUMIFS(line_downtime[Column11],line_downtime[Column1],line_productivity7[[#This Row],[Batch]])</f>
        <v>24</v>
      </c>
      <c r="Q11" s="4">
        <f>SUMIFS(line_downtime[Column12],line_downtime[Column1],line_productivity7[[#This Row],[Batch]])</f>
        <v>0</v>
      </c>
      <c r="R11" s="4">
        <f>SUMIFS(line_downtime[Column13],line_downtime[Column1],line_productivity7[[#This Row],[Batch]])</f>
        <v>0</v>
      </c>
      <c r="S11" s="4">
        <f>line_productivity7[[#This Row],[Batch Change]]+line_productivity7[[#This Row],[Product Spill]]+line_productivity7[[#This Row],[Machine Adjustment]]+line_productivity7[[#This Row],[Batch Coding Error]]+line_productivity7[[#This Row],[Calibration Error]]+line_productivity7[[#This Row],[Label Switch]]</f>
        <v>24</v>
      </c>
      <c r="T11" s="4">
        <f>line_productivity7[[#This Row],[Emergency Stop]]+line_productivity7[[#This Row],[Labeling Error]]+line_productivity7[[#This Row],[Inventory Shortage]]+line_productivity7[[#This Row],[Machine Failure]]+line_productivity7[[#This Row],[Conveyor Belt Jam]]+line_productivity7[[#This Row],[Other]]</f>
        <v>0</v>
      </c>
      <c r="U11" s="4">
        <f>SUM(line_productivity7[[#This Row],[Emergency Stop]:[Other]])</f>
        <v>24</v>
      </c>
      <c r="V11" s="7">
        <f>MOD(line_productivity7[[#This Row],[End Time]]-line_productivity7[[#This Row],[Start Time]],1)*1440</f>
        <v>83.999999999999858</v>
      </c>
      <c r="W11" s="4">
        <f>line_productivity7[[#This Row],[PT]]-line_productivity7[[#This Row],[TD]]</f>
        <v>59.999999999999858</v>
      </c>
      <c r="Y11" s="16" t="s">
        <v>10</v>
      </c>
    </row>
    <row r="12" spans="1:25" x14ac:dyDescent="0.25">
      <c r="A12" s="6">
        <v>45533</v>
      </c>
      <c r="B12" s="7" t="s">
        <v>65</v>
      </c>
      <c r="C12" s="4">
        <v>422116</v>
      </c>
      <c r="D12" s="7" t="s">
        <v>66</v>
      </c>
      <c r="E12" s="8">
        <v>0.86041666666666672</v>
      </c>
      <c r="F12" s="8" t="s">
        <v>135</v>
      </c>
      <c r="G12" s="4">
        <f>SUMIFS(line_downtime[Column2],line_downtime[Column1],line_productivity7[[#This Row],[Batch]])</f>
        <v>0</v>
      </c>
      <c r="H12" s="4">
        <f>SUMIFS(line_downtime[Column3],line_downtime[Column1],line_productivity7[[#This Row],[Batch]])</f>
        <v>0</v>
      </c>
      <c r="I12" s="4">
        <f>SUMIFS(line_downtime[Column4],line_downtime[Column1],line_productivity7[[#This Row],[Batch]])</f>
        <v>0</v>
      </c>
      <c r="J12" s="4">
        <f>SUMIFS(line_downtime[Column5],line_downtime[Column1],line_productivity7[[#This Row],[Batch]])</f>
        <v>0</v>
      </c>
      <c r="K12" s="4">
        <f>SUMIFS(line_downtime[Column6],line_downtime[Column1],line_productivity7[[#This Row],[Batch]])</f>
        <v>0</v>
      </c>
      <c r="L12" s="4">
        <f>SUMIFS(line_downtime[Column7],line_downtime[Column1],line_productivity7[[#This Row],[Batch]])</f>
        <v>0</v>
      </c>
      <c r="M12" s="4">
        <f>SUMIFS(line_downtime[Column8],line_downtime[Column1],line_productivity7[[#This Row],[Batch]])</f>
        <v>0</v>
      </c>
      <c r="N12" s="4">
        <f>SUMIFS(line_downtime[Column9],line_downtime[Column1],line_productivity7[[#This Row],[Batch]])</f>
        <v>0</v>
      </c>
      <c r="O12" s="4">
        <f>SUMIFS(line_downtime[Column10],line_downtime[Column1],line_productivity7[[#This Row],[Batch]])</f>
        <v>0</v>
      </c>
      <c r="P12" s="4">
        <f>SUMIFS(line_downtime[Column11],line_downtime[Column1],line_productivity7[[#This Row],[Batch]])</f>
        <v>0</v>
      </c>
      <c r="Q12" s="4">
        <f>SUMIFS(line_downtime[Column12],line_downtime[Column1],line_productivity7[[#This Row],[Batch]])</f>
        <v>0</v>
      </c>
      <c r="R12" s="4">
        <f>SUMIFS(line_downtime[Column13],line_downtime[Column1],line_productivity7[[#This Row],[Batch]])</f>
        <v>0</v>
      </c>
      <c r="S12" s="4">
        <f>line_productivity7[[#This Row],[Batch Change]]+line_productivity7[[#This Row],[Product Spill]]+line_productivity7[[#This Row],[Machine Adjustment]]+line_productivity7[[#This Row],[Batch Coding Error]]+line_productivity7[[#This Row],[Calibration Error]]+line_productivity7[[#This Row],[Label Switch]]</f>
        <v>0</v>
      </c>
      <c r="T12" s="4">
        <f>line_productivity7[[#This Row],[Emergency Stop]]+line_productivity7[[#This Row],[Labeling Error]]+line_productivity7[[#This Row],[Inventory Shortage]]+line_productivity7[[#This Row],[Machine Failure]]+line_productivity7[[#This Row],[Conveyor Belt Jam]]+line_productivity7[[#This Row],[Other]]</f>
        <v>0</v>
      </c>
      <c r="U12" s="4">
        <f>SUM(line_productivity7[[#This Row],[Emergency Stop]:[Other]])</f>
        <v>0</v>
      </c>
      <c r="V12" s="7">
        <f>MOD(line_productivity7[[#This Row],[End Time]]-line_productivity7[[#This Row],[Start Time]],1)*1440</f>
        <v>59.999999999999787</v>
      </c>
      <c r="W12" s="4">
        <f>line_productivity7[[#This Row],[PT]]-line_productivity7[[#This Row],[TD]]</f>
        <v>59.999999999999787</v>
      </c>
      <c r="Y12" s="15" t="s">
        <v>11</v>
      </c>
    </row>
    <row r="13" spans="1:25" x14ac:dyDescent="0.25">
      <c r="A13" s="6">
        <v>45533</v>
      </c>
      <c r="B13" s="7" t="s">
        <v>65</v>
      </c>
      <c r="C13" s="4">
        <v>422117</v>
      </c>
      <c r="D13" s="7" t="s">
        <v>66</v>
      </c>
      <c r="E13" s="8">
        <v>0.90208333333333335</v>
      </c>
      <c r="F13" s="8" t="s">
        <v>136</v>
      </c>
      <c r="G13" s="4">
        <f>SUMIFS(line_downtime[Column2],line_downtime[Column1],line_productivity7[[#This Row],[Batch]])</f>
        <v>0</v>
      </c>
      <c r="H13" s="4">
        <f>SUMIFS(line_downtime[Column3],line_downtime[Column1],line_productivity7[[#This Row],[Batch]])</f>
        <v>10</v>
      </c>
      <c r="I13" s="4">
        <f>SUMIFS(line_downtime[Column4],line_downtime[Column1],line_productivity7[[#This Row],[Batch]])</f>
        <v>0</v>
      </c>
      <c r="J13" s="4">
        <f>SUMIFS(line_downtime[Column5],line_downtime[Column1],line_productivity7[[#This Row],[Batch]])</f>
        <v>0</v>
      </c>
      <c r="K13" s="4">
        <f>SUMIFS(line_downtime[Column6],line_downtime[Column1],line_productivity7[[#This Row],[Batch]])</f>
        <v>0</v>
      </c>
      <c r="L13" s="4">
        <f>SUMIFS(line_downtime[Column7],line_downtime[Column1],line_productivity7[[#This Row],[Batch]])</f>
        <v>5</v>
      </c>
      <c r="M13" s="4">
        <f>SUMIFS(line_downtime[Column8],line_downtime[Column1],line_productivity7[[#This Row],[Batch]])</f>
        <v>0</v>
      </c>
      <c r="N13" s="4">
        <f>SUMIFS(line_downtime[Column9],line_downtime[Column1],line_productivity7[[#This Row],[Batch]])</f>
        <v>0</v>
      </c>
      <c r="O13" s="4">
        <f>SUMIFS(line_downtime[Column10],line_downtime[Column1],line_productivity7[[#This Row],[Batch]])</f>
        <v>0</v>
      </c>
      <c r="P13" s="4">
        <f>SUMIFS(line_downtime[Column11],line_downtime[Column1],line_productivity7[[#This Row],[Batch]])</f>
        <v>0</v>
      </c>
      <c r="Q13" s="4">
        <f>SUMIFS(line_downtime[Column12],line_downtime[Column1],line_productivity7[[#This Row],[Batch]])</f>
        <v>0</v>
      </c>
      <c r="R13" s="4">
        <f>SUMIFS(line_downtime[Column13],line_downtime[Column1],line_productivity7[[#This Row],[Batch]])</f>
        <v>0</v>
      </c>
      <c r="S13" s="4">
        <f>line_productivity7[[#This Row],[Batch Change]]+line_productivity7[[#This Row],[Product Spill]]+line_productivity7[[#This Row],[Machine Adjustment]]+line_productivity7[[#This Row],[Batch Coding Error]]+line_productivity7[[#This Row],[Calibration Error]]+line_productivity7[[#This Row],[Label Switch]]</f>
        <v>15</v>
      </c>
      <c r="T13" s="4">
        <f>line_productivity7[[#This Row],[Emergency Stop]]+line_productivity7[[#This Row],[Labeling Error]]+line_productivity7[[#This Row],[Inventory Shortage]]+line_productivity7[[#This Row],[Machine Failure]]+line_productivity7[[#This Row],[Conveyor Belt Jam]]+line_productivity7[[#This Row],[Other]]</f>
        <v>0</v>
      </c>
      <c r="U13" s="4">
        <f>SUM(line_productivity7[[#This Row],[Emergency Stop]:[Other]])</f>
        <v>15</v>
      </c>
      <c r="V13" s="7">
        <f>MOD(line_productivity7[[#This Row],[End Time]]-line_productivity7[[#This Row],[Start Time]],1)*1440</f>
        <v>74.999999999999886</v>
      </c>
      <c r="W13" s="4">
        <f>line_productivity7[[#This Row],[PT]]-line_productivity7[[#This Row],[TD]]</f>
        <v>59.999999999999886</v>
      </c>
      <c r="Y13" s="16" t="s">
        <v>12</v>
      </c>
    </row>
    <row r="14" spans="1:25" x14ac:dyDescent="0.25">
      <c r="A14" s="6">
        <v>45534</v>
      </c>
      <c r="B14" s="7" t="s">
        <v>67</v>
      </c>
      <c r="C14" s="4">
        <v>422118</v>
      </c>
      <c r="D14" s="7" t="s">
        <v>68</v>
      </c>
      <c r="E14" s="8">
        <v>0.1701388888888889</v>
      </c>
      <c r="F14" s="8" t="s">
        <v>137</v>
      </c>
      <c r="G14" s="4">
        <f>SUMIFS(line_downtime[Column2],line_downtime[Column1],line_productivity7[[#This Row],[Batch]])</f>
        <v>0</v>
      </c>
      <c r="H14" s="4">
        <f>SUMIFS(line_downtime[Column3],line_downtime[Column1],line_productivity7[[#This Row],[Batch]])</f>
        <v>0</v>
      </c>
      <c r="I14" s="4">
        <f>SUMIFS(line_downtime[Column4],line_downtime[Column1],line_productivity7[[#This Row],[Batch]])</f>
        <v>0</v>
      </c>
      <c r="J14" s="4">
        <f>SUMIFS(line_downtime[Column5],line_downtime[Column1],line_productivity7[[#This Row],[Batch]])</f>
        <v>0</v>
      </c>
      <c r="K14" s="4">
        <f>SUMIFS(line_downtime[Column6],line_downtime[Column1],line_productivity7[[#This Row],[Batch]])</f>
        <v>0</v>
      </c>
      <c r="L14" s="4">
        <f>SUMIFS(line_downtime[Column7],line_downtime[Column1],line_productivity7[[#This Row],[Batch]])</f>
        <v>14</v>
      </c>
      <c r="M14" s="4">
        <f>SUMIFS(line_downtime[Column8],line_downtime[Column1],line_productivity7[[#This Row],[Batch]])</f>
        <v>16</v>
      </c>
      <c r="N14" s="4">
        <f>SUMIFS(line_downtime[Column9],line_downtime[Column1],line_productivity7[[#This Row],[Batch]])</f>
        <v>0</v>
      </c>
      <c r="O14" s="4">
        <f>SUMIFS(line_downtime[Column10],line_downtime[Column1],line_productivity7[[#This Row],[Batch]])</f>
        <v>0</v>
      </c>
      <c r="P14" s="4">
        <f>SUMIFS(line_downtime[Column11],line_downtime[Column1],line_productivity7[[#This Row],[Batch]])</f>
        <v>0</v>
      </c>
      <c r="Q14" s="4">
        <f>SUMIFS(line_downtime[Column12],line_downtime[Column1],line_productivity7[[#This Row],[Batch]])</f>
        <v>10</v>
      </c>
      <c r="R14" s="4">
        <f>SUMIFS(line_downtime[Column13],line_downtime[Column1],line_productivity7[[#This Row],[Batch]])</f>
        <v>20</v>
      </c>
      <c r="S14" s="4">
        <f>line_productivity7[[#This Row],[Batch Change]]+line_productivity7[[#This Row],[Product Spill]]+line_productivity7[[#This Row],[Machine Adjustment]]+line_productivity7[[#This Row],[Batch Coding Error]]+line_productivity7[[#This Row],[Calibration Error]]+line_productivity7[[#This Row],[Label Switch]]</f>
        <v>24</v>
      </c>
      <c r="T14" s="4">
        <f>line_productivity7[[#This Row],[Emergency Stop]]+line_productivity7[[#This Row],[Labeling Error]]+line_productivity7[[#This Row],[Inventory Shortage]]+line_productivity7[[#This Row],[Machine Failure]]+line_productivity7[[#This Row],[Conveyor Belt Jam]]+line_productivity7[[#This Row],[Other]]</f>
        <v>36</v>
      </c>
      <c r="U14" s="4">
        <f>SUM(line_productivity7[[#This Row],[Emergency Stop]:[Other]])</f>
        <v>60</v>
      </c>
      <c r="V14" s="7">
        <f>MOD(line_productivity7[[#This Row],[End Time]]-line_productivity7[[#This Row],[Start Time]],1)*1440</f>
        <v>119.99999999999997</v>
      </c>
      <c r="W14" s="4">
        <f>line_productivity7[[#This Row],[PT]]-line_productivity7[[#This Row],[TD]]</f>
        <v>59.999999999999972</v>
      </c>
      <c r="Y14" s="15" t="s">
        <v>13</v>
      </c>
    </row>
    <row r="15" spans="1:25" x14ac:dyDescent="0.25">
      <c r="A15" s="6">
        <v>45534</v>
      </c>
      <c r="B15" s="7" t="s">
        <v>67</v>
      </c>
      <c r="C15" s="4">
        <v>422119</v>
      </c>
      <c r="D15" s="7" t="s">
        <v>68</v>
      </c>
      <c r="E15" s="8">
        <v>0.25347222222222221</v>
      </c>
      <c r="F15" s="8" t="s">
        <v>138</v>
      </c>
      <c r="G15" s="4">
        <f>SUMIFS(line_downtime[Column2],line_downtime[Column1],line_productivity7[[#This Row],[Batch]])</f>
        <v>0</v>
      </c>
      <c r="H15" s="4">
        <f>SUMIFS(line_downtime[Column3],line_downtime[Column1],line_productivity7[[#This Row],[Batch]])</f>
        <v>0</v>
      </c>
      <c r="I15" s="4">
        <f>SUMIFS(line_downtime[Column4],line_downtime[Column1],line_productivity7[[#This Row],[Batch]])</f>
        <v>0</v>
      </c>
      <c r="J15" s="4">
        <f>SUMIFS(line_downtime[Column5],line_downtime[Column1],line_productivity7[[#This Row],[Batch]])</f>
        <v>25</v>
      </c>
      <c r="K15" s="4">
        <f>SUMIFS(line_downtime[Column6],line_downtime[Column1],line_productivity7[[#This Row],[Batch]])</f>
        <v>0</v>
      </c>
      <c r="L15" s="4">
        <f>SUMIFS(line_downtime[Column7],line_downtime[Column1],line_productivity7[[#This Row],[Batch]])</f>
        <v>0</v>
      </c>
      <c r="M15" s="4">
        <f>SUMIFS(line_downtime[Column8],line_downtime[Column1],line_productivity7[[#This Row],[Batch]])</f>
        <v>0</v>
      </c>
      <c r="N15" s="4">
        <f>SUMIFS(line_downtime[Column9],line_downtime[Column1],line_productivity7[[#This Row],[Batch]])</f>
        <v>0</v>
      </c>
      <c r="O15" s="4">
        <f>SUMIFS(line_downtime[Column10],line_downtime[Column1],line_productivity7[[#This Row],[Batch]])</f>
        <v>0</v>
      </c>
      <c r="P15" s="4">
        <f>SUMIFS(line_downtime[Column11],line_downtime[Column1],line_productivity7[[#This Row],[Batch]])</f>
        <v>0</v>
      </c>
      <c r="Q15" s="4">
        <f>SUMIFS(line_downtime[Column12],line_downtime[Column1],line_productivity7[[#This Row],[Batch]])</f>
        <v>0</v>
      </c>
      <c r="R15" s="4">
        <f>SUMIFS(line_downtime[Column13],line_downtime[Column1],line_productivity7[[#This Row],[Batch]])</f>
        <v>0</v>
      </c>
      <c r="S15" s="4">
        <f>line_productivity7[[#This Row],[Batch Change]]+line_productivity7[[#This Row],[Product Spill]]+line_productivity7[[#This Row],[Machine Adjustment]]+line_productivity7[[#This Row],[Batch Coding Error]]+line_productivity7[[#This Row],[Calibration Error]]+line_productivity7[[#This Row],[Label Switch]]</f>
        <v>0</v>
      </c>
      <c r="T15" s="4">
        <f>line_productivity7[[#This Row],[Emergency Stop]]+line_productivity7[[#This Row],[Labeling Error]]+line_productivity7[[#This Row],[Inventory Shortage]]+line_productivity7[[#This Row],[Machine Failure]]+line_productivity7[[#This Row],[Conveyor Belt Jam]]+line_productivity7[[#This Row],[Other]]</f>
        <v>25</v>
      </c>
      <c r="U15" s="4">
        <f>SUM(line_productivity7[[#This Row],[Emergency Stop]:[Other]])</f>
        <v>25</v>
      </c>
      <c r="V15" s="7">
        <f>MOD(line_productivity7[[#This Row],[End Time]]-line_productivity7[[#This Row],[Start Time]],1)*1440</f>
        <v>85.000000000000014</v>
      </c>
      <c r="W15" s="4">
        <f>line_productivity7[[#This Row],[PT]]-line_productivity7[[#This Row],[TD]]</f>
        <v>60.000000000000014</v>
      </c>
      <c r="Y15" s="16" t="s">
        <v>14</v>
      </c>
    </row>
    <row r="16" spans="1:25" x14ac:dyDescent="0.25">
      <c r="A16" s="6">
        <v>45534</v>
      </c>
      <c r="B16" s="7" t="s">
        <v>67</v>
      </c>
      <c r="C16" s="4">
        <v>422120</v>
      </c>
      <c r="D16" s="7" t="s">
        <v>68</v>
      </c>
      <c r="E16" s="8">
        <v>0.3125</v>
      </c>
      <c r="F16" s="8" t="s">
        <v>139</v>
      </c>
      <c r="G16" s="4">
        <f>SUMIFS(line_downtime[Column2],line_downtime[Column1],line_productivity7[[#This Row],[Batch]])</f>
        <v>0</v>
      </c>
      <c r="H16" s="4">
        <f>SUMIFS(line_downtime[Column3],line_downtime[Column1],line_productivity7[[#This Row],[Batch]])</f>
        <v>0</v>
      </c>
      <c r="I16" s="4">
        <f>SUMIFS(line_downtime[Column4],line_downtime[Column1],line_productivity7[[#This Row],[Batch]])</f>
        <v>0</v>
      </c>
      <c r="J16" s="4">
        <f>SUMIFS(line_downtime[Column5],line_downtime[Column1],line_productivity7[[#This Row],[Batch]])</f>
        <v>20</v>
      </c>
      <c r="K16" s="4">
        <f>SUMIFS(line_downtime[Column6],line_downtime[Column1],line_productivity7[[#This Row],[Batch]])</f>
        <v>15</v>
      </c>
      <c r="L16" s="4">
        <f>SUMIFS(line_downtime[Column7],line_downtime[Column1],line_productivity7[[#This Row],[Batch]])</f>
        <v>0</v>
      </c>
      <c r="M16" s="4">
        <f>SUMIFS(line_downtime[Column8],line_downtime[Column1],line_productivity7[[#This Row],[Batch]])</f>
        <v>0</v>
      </c>
      <c r="N16" s="4">
        <f>SUMIFS(line_downtime[Column9],line_downtime[Column1],line_productivity7[[#This Row],[Batch]])</f>
        <v>0</v>
      </c>
      <c r="O16" s="4">
        <f>SUMIFS(line_downtime[Column10],line_downtime[Column1],line_productivity7[[#This Row],[Batch]])</f>
        <v>17</v>
      </c>
      <c r="P16" s="4">
        <f>SUMIFS(line_downtime[Column11],line_downtime[Column1],line_productivity7[[#This Row],[Batch]])</f>
        <v>0</v>
      </c>
      <c r="Q16" s="4">
        <f>SUMIFS(line_downtime[Column12],line_downtime[Column1],line_productivity7[[#This Row],[Batch]])</f>
        <v>0</v>
      </c>
      <c r="R16" s="4">
        <f>SUMIFS(line_downtime[Column13],line_downtime[Column1],line_productivity7[[#This Row],[Batch]])</f>
        <v>0</v>
      </c>
      <c r="S16" s="4">
        <f>line_productivity7[[#This Row],[Batch Change]]+line_productivity7[[#This Row],[Product Spill]]+line_productivity7[[#This Row],[Machine Adjustment]]+line_productivity7[[#This Row],[Batch Coding Error]]+line_productivity7[[#This Row],[Calibration Error]]+line_productivity7[[#This Row],[Label Switch]]</f>
        <v>15</v>
      </c>
      <c r="T16" s="4">
        <f>line_productivity7[[#This Row],[Emergency Stop]]+line_productivity7[[#This Row],[Labeling Error]]+line_productivity7[[#This Row],[Inventory Shortage]]+line_productivity7[[#This Row],[Machine Failure]]+line_productivity7[[#This Row],[Conveyor Belt Jam]]+line_productivity7[[#This Row],[Other]]</f>
        <v>37</v>
      </c>
      <c r="U16" s="4">
        <f>SUM(line_productivity7[[#This Row],[Emergency Stop]:[Other]])</f>
        <v>52</v>
      </c>
      <c r="V16" s="7">
        <f>MOD(line_productivity7[[#This Row],[End Time]]-line_productivity7[[#This Row],[Start Time]],1)*1440</f>
        <v>112</v>
      </c>
      <c r="W16" s="4">
        <f>line_productivity7[[#This Row],[PT]]-line_productivity7[[#This Row],[TD]]</f>
        <v>60</v>
      </c>
      <c r="Y16" s="15" t="s">
        <v>15</v>
      </c>
    </row>
    <row r="17" spans="1:25" x14ac:dyDescent="0.25">
      <c r="A17" s="6">
        <v>45534</v>
      </c>
      <c r="B17" s="7" t="s">
        <v>67</v>
      </c>
      <c r="C17" s="4">
        <v>422121</v>
      </c>
      <c r="D17" s="7" t="s">
        <v>69</v>
      </c>
      <c r="E17" s="8">
        <v>0.39027777777777778</v>
      </c>
      <c r="F17" s="8" t="s">
        <v>140</v>
      </c>
      <c r="G17" s="4">
        <f>SUMIFS(line_downtime[Column2],line_downtime[Column1],line_productivity7[[#This Row],[Batch]])</f>
        <v>0</v>
      </c>
      <c r="H17" s="4">
        <f>SUMIFS(line_downtime[Column3],line_downtime[Column1],line_productivity7[[#This Row],[Batch]])</f>
        <v>0</v>
      </c>
      <c r="I17" s="4">
        <f>SUMIFS(line_downtime[Column4],line_downtime[Column1],line_productivity7[[#This Row],[Batch]])</f>
        <v>0</v>
      </c>
      <c r="J17" s="4">
        <f>SUMIFS(line_downtime[Column5],line_downtime[Column1],line_productivity7[[#This Row],[Batch]])</f>
        <v>0</v>
      </c>
      <c r="K17" s="4">
        <f>SUMIFS(line_downtime[Column6],line_downtime[Column1],line_productivity7[[#This Row],[Batch]])</f>
        <v>0</v>
      </c>
      <c r="L17" s="4">
        <f>SUMIFS(line_downtime[Column7],line_downtime[Column1],line_productivity7[[#This Row],[Batch]])</f>
        <v>0</v>
      </c>
      <c r="M17" s="4">
        <f>SUMIFS(line_downtime[Column8],line_downtime[Column1],line_productivity7[[#This Row],[Batch]])</f>
        <v>15</v>
      </c>
      <c r="N17" s="4">
        <f>SUMIFS(line_downtime[Column9],line_downtime[Column1],line_productivity7[[#This Row],[Batch]])</f>
        <v>0</v>
      </c>
      <c r="O17" s="4">
        <f>SUMIFS(line_downtime[Column10],line_downtime[Column1],line_productivity7[[#This Row],[Batch]])</f>
        <v>0</v>
      </c>
      <c r="P17" s="4">
        <f>SUMIFS(line_downtime[Column11],line_downtime[Column1],line_productivity7[[#This Row],[Batch]])</f>
        <v>0</v>
      </c>
      <c r="Q17" s="4">
        <f>SUMIFS(line_downtime[Column12],line_downtime[Column1],line_productivity7[[#This Row],[Batch]])</f>
        <v>0</v>
      </c>
      <c r="R17" s="4">
        <f>SUMIFS(line_downtime[Column13],line_downtime[Column1],line_productivity7[[#This Row],[Batch]])</f>
        <v>0</v>
      </c>
      <c r="S17" s="4">
        <f>line_productivity7[[#This Row],[Batch Change]]+line_productivity7[[#This Row],[Product Spill]]+line_productivity7[[#This Row],[Machine Adjustment]]+line_productivity7[[#This Row],[Batch Coding Error]]+line_productivity7[[#This Row],[Calibration Error]]+line_productivity7[[#This Row],[Label Switch]]</f>
        <v>0</v>
      </c>
      <c r="T17" s="4">
        <f>line_productivity7[[#This Row],[Emergency Stop]]+line_productivity7[[#This Row],[Labeling Error]]+line_productivity7[[#This Row],[Inventory Shortage]]+line_productivity7[[#This Row],[Machine Failure]]+line_productivity7[[#This Row],[Conveyor Belt Jam]]+line_productivity7[[#This Row],[Other]]</f>
        <v>15</v>
      </c>
      <c r="U17" s="4">
        <f>SUM(line_productivity7[[#This Row],[Emergency Stop]:[Other]])</f>
        <v>15</v>
      </c>
      <c r="V17" s="7">
        <f>MOD(line_productivity7[[#This Row],[End Time]]-line_productivity7[[#This Row],[Start Time]],1)*1440</f>
        <v>75.000000000000057</v>
      </c>
      <c r="W17" s="4">
        <f>line_productivity7[[#This Row],[PT]]-line_productivity7[[#This Row],[TD]]</f>
        <v>60.000000000000057</v>
      </c>
      <c r="Y17" s="16" t="s">
        <v>16</v>
      </c>
    </row>
    <row r="18" spans="1:25" x14ac:dyDescent="0.25">
      <c r="A18" s="6">
        <v>45534</v>
      </c>
      <c r="B18" s="7" t="s">
        <v>67</v>
      </c>
      <c r="C18" s="4">
        <v>422122</v>
      </c>
      <c r="D18" s="7" t="s">
        <v>69</v>
      </c>
      <c r="E18" s="8">
        <v>0.44236111111111109</v>
      </c>
      <c r="F18" s="8" t="s">
        <v>141</v>
      </c>
      <c r="G18" s="4">
        <f>SUMIFS(line_downtime[Column2],line_downtime[Column1],line_productivity7[[#This Row],[Batch]])</f>
        <v>0</v>
      </c>
      <c r="H18" s="4">
        <f>SUMIFS(line_downtime[Column3],line_downtime[Column1],line_productivity7[[#This Row],[Batch]])</f>
        <v>0</v>
      </c>
      <c r="I18" s="4">
        <f>SUMIFS(line_downtime[Column4],line_downtime[Column1],line_productivity7[[#This Row],[Batch]])</f>
        <v>0</v>
      </c>
      <c r="J18" s="4">
        <f>SUMIFS(line_downtime[Column5],line_downtime[Column1],line_productivity7[[#This Row],[Batch]])</f>
        <v>0</v>
      </c>
      <c r="K18" s="4">
        <f>SUMIFS(line_downtime[Column6],line_downtime[Column1],line_productivity7[[#This Row],[Batch]])</f>
        <v>0</v>
      </c>
      <c r="L18" s="4">
        <f>SUMIFS(line_downtime[Column7],line_downtime[Column1],line_productivity7[[#This Row],[Batch]])</f>
        <v>0</v>
      </c>
      <c r="M18" s="4">
        <f>SUMIFS(line_downtime[Column8],line_downtime[Column1],line_productivity7[[#This Row],[Batch]])</f>
        <v>25</v>
      </c>
      <c r="N18" s="4">
        <f>SUMIFS(line_downtime[Column9],line_downtime[Column1],line_productivity7[[#This Row],[Batch]])</f>
        <v>0</v>
      </c>
      <c r="O18" s="4">
        <f>SUMIFS(line_downtime[Column10],line_downtime[Column1],line_productivity7[[#This Row],[Batch]])</f>
        <v>0</v>
      </c>
      <c r="P18" s="4">
        <f>SUMIFS(line_downtime[Column11],line_downtime[Column1],line_productivity7[[#This Row],[Batch]])</f>
        <v>0</v>
      </c>
      <c r="Q18" s="4">
        <f>SUMIFS(line_downtime[Column12],line_downtime[Column1],line_productivity7[[#This Row],[Batch]])</f>
        <v>0</v>
      </c>
      <c r="R18" s="4">
        <f>SUMIFS(line_downtime[Column13],line_downtime[Column1],line_productivity7[[#This Row],[Batch]])</f>
        <v>0</v>
      </c>
      <c r="S18" s="4">
        <f>line_productivity7[[#This Row],[Batch Change]]+line_productivity7[[#This Row],[Product Spill]]+line_productivity7[[#This Row],[Machine Adjustment]]+line_productivity7[[#This Row],[Batch Coding Error]]+line_productivity7[[#This Row],[Calibration Error]]+line_productivity7[[#This Row],[Label Switch]]</f>
        <v>0</v>
      </c>
      <c r="T18" s="4">
        <f>line_productivity7[[#This Row],[Emergency Stop]]+line_productivity7[[#This Row],[Labeling Error]]+line_productivity7[[#This Row],[Inventory Shortage]]+line_productivity7[[#This Row],[Machine Failure]]+line_productivity7[[#This Row],[Conveyor Belt Jam]]+line_productivity7[[#This Row],[Other]]</f>
        <v>25</v>
      </c>
      <c r="U18" s="4">
        <f>SUM(line_productivity7[[#This Row],[Emergency Stop]:[Other]])</f>
        <v>25</v>
      </c>
      <c r="V18" s="7">
        <f>MOD(line_productivity7[[#This Row],[End Time]]-line_productivity7[[#This Row],[Start Time]],1)*1440</f>
        <v>85.000000000000014</v>
      </c>
      <c r="W18" s="4">
        <f>line_productivity7[[#This Row],[PT]]-line_productivity7[[#This Row],[TD]]</f>
        <v>60.000000000000014</v>
      </c>
    </row>
    <row r="19" spans="1:25" x14ac:dyDescent="0.25">
      <c r="A19" s="6">
        <v>45534</v>
      </c>
      <c r="B19" s="7" t="s">
        <v>67</v>
      </c>
      <c r="C19" s="4">
        <v>422123</v>
      </c>
      <c r="D19" s="7" t="s">
        <v>69</v>
      </c>
      <c r="E19" s="8">
        <v>0.50138888888888888</v>
      </c>
      <c r="F19" s="8" t="s">
        <v>142</v>
      </c>
      <c r="G19" s="4">
        <f>SUMIFS(line_downtime[Column2],line_downtime[Column1],line_productivity7[[#This Row],[Batch]])</f>
        <v>0</v>
      </c>
      <c r="H19" s="4">
        <f>SUMIFS(line_downtime[Column3],line_downtime[Column1],line_productivity7[[#This Row],[Batch]])</f>
        <v>0</v>
      </c>
      <c r="I19" s="4">
        <f>SUMIFS(line_downtime[Column4],line_downtime[Column1],line_productivity7[[#This Row],[Batch]])</f>
        <v>0</v>
      </c>
      <c r="J19" s="4">
        <f>SUMIFS(line_downtime[Column5],line_downtime[Column1],line_productivity7[[#This Row],[Batch]])</f>
        <v>43</v>
      </c>
      <c r="K19" s="4">
        <f>SUMIFS(line_downtime[Column6],line_downtime[Column1],line_productivity7[[#This Row],[Batch]])</f>
        <v>0</v>
      </c>
      <c r="L19" s="4">
        <f>SUMIFS(line_downtime[Column7],line_downtime[Column1],line_productivity7[[#This Row],[Batch]])</f>
        <v>0</v>
      </c>
      <c r="M19" s="4">
        <f>SUMIFS(line_downtime[Column8],line_downtime[Column1],line_productivity7[[#This Row],[Batch]])</f>
        <v>30</v>
      </c>
      <c r="N19" s="4">
        <f>SUMIFS(line_downtime[Column9],line_downtime[Column1],line_productivity7[[#This Row],[Batch]])</f>
        <v>0</v>
      </c>
      <c r="O19" s="4">
        <f>SUMIFS(line_downtime[Column10],line_downtime[Column1],line_productivity7[[#This Row],[Batch]])</f>
        <v>0</v>
      </c>
      <c r="P19" s="4">
        <f>SUMIFS(line_downtime[Column11],line_downtime[Column1],line_productivity7[[#This Row],[Batch]])</f>
        <v>0</v>
      </c>
      <c r="Q19" s="4">
        <f>SUMIFS(line_downtime[Column12],line_downtime[Column1],line_productivity7[[#This Row],[Batch]])</f>
        <v>0</v>
      </c>
      <c r="R19" s="4">
        <f>SUMIFS(line_downtime[Column13],line_downtime[Column1],line_productivity7[[#This Row],[Batch]])</f>
        <v>0</v>
      </c>
      <c r="S19" s="4">
        <f>line_productivity7[[#This Row],[Batch Change]]+line_productivity7[[#This Row],[Product Spill]]+line_productivity7[[#This Row],[Machine Adjustment]]+line_productivity7[[#This Row],[Batch Coding Error]]+line_productivity7[[#This Row],[Calibration Error]]+line_productivity7[[#This Row],[Label Switch]]</f>
        <v>0</v>
      </c>
      <c r="T19" s="4">
        <f>line_productivity7[[#This Row],[Emergency Stop]]+line_productivity7[[#This Row],[Labeling Error]]+line_productivity7[[#This Row],[Inventory Shortage]]+line_productivity7[[#This Row],[Machine Failure]]+line_productivity7[[#This Row],[Conveyor Belt Jam]]+line_productivity7[[#This Row],[Other]]</f>
        <v>73</v>
      </c>
      <c r="U19" s="4">
        <f>SUM(line_productivity7[[#This Row],[Emergency Stop]:[Other]])</f>
        <v>73</v>
      </c>
      <c r="V19" s="7">
        <f>MOD(line_productivity7[[#This Row],[End Time]]-line_productivity7[[#This Row],[Start Time]],1)*1440</f>
        <v>133</v>
      </c>
      <c r="W19" s="4">
        <f>line_productivity7[[#This Row],[PT]]-line_productivity7[[#This Row],[TD]]</f>
        <v>60</v>
      </c>
    </row>
    <row r="20" spans="1:25" x14ac:dyDescent="0.25">
      <c r="A20" s="6">
        <v>45534</v>
      </c>
      <c r="B20" s="7" t="s">
        <v>67</v>
      </c>
      <c r="C20" s="4">
        <v>422124</v>
      </c>
      <c r="D20" s="7" t="s">
        <v>69</v>
      </c>
      <c r="E20" s="8">
        <v>0.59375</v>
      </c>
      <c r="F20" s="8" t="s">
        <v>143</v>
      </c>
      <c r="G20" s="4">
        <f>SUMIFS(line_downtime[Column2],line_downtime[Column1],line_productivity7[[#This Row],[Batch]])</f>
        <v>0</v>
      </c>
      <c r="H20" s="4">
        <f>SUMIFS(line_downtime[Column3],line_downtime[Column1],line_productivity7[[#This Row],[Batch]])</f>
        <v>0</v>
      </c>
      <c r="I20" s="4">
        <f>SUMIFS(line_downtime[Column4],line_downtime[Column1],line_productivity7[[#This Row],[Batch]])</f>
        <v>0</v>
      </c>
      <c r="J20" s="4">
        <f>SUMIFS(line_downtime[Column5],line_downtime[Column1],line_productivity7[[#This Row],[Batch]])</f>
        <v>0</v>
      </c>
      <c r="K20" s="4">
        <f>SUMIFS(line_downtime[Column6],line_downtime[Column1],line_productivity7[[#This Row],[Batch]])</f>
        <v>20</v>
      </c>
      <c r="L20" s="4">
        <f>SUMIFS(line_downtime[Column7],line_downtime[Column1],line_productivity7[[#This Row],[Batch]])</f>
        <v>20</v>
      </c>
      <c r="M20" s="4">
        <f>SUMIFS(line_downtime[Column8],line_downtime[Column1],line_productivity7[[#This Row],[Batch]])</f>
        <v>0</v>
      </c>
      <c r="N20" s="4">
        <f>SUMIFS(line_downtime[Column9],line_downtime[Column1],line_productivity7[[#This Row],[Batch]])</f>
        <v>0</v>
      </c>
      <c r="O20" s="4">
        <f>SUMIFS(line_downtime[Column10],line_downtime[Column1],line_productivity7[[#This Row],[Batch]])</f>
        <v>0</v>
      </c>
      <c r="P20" s="4">
        <f>SUMIFS(line_downtime[Column11],line_downtime[Column1],line_productivity7[[#This Row],[Batch]])</f>
        <v>0</v>
      </c>
      <c r="Q20" s="4">
        <f>SUMIFS(line_downtime[Column12],line_downtime[Column1],line_productivity7[[#This Row],[Batch]])</f>
        <v>0</v>
      </c>
      <c r="R20" s="4">
        <f>SUMIFS(line_downtime[Column13],line_downtime[Column1],line_productivity7[[#This Row],[Batch]])</f>
        <v>0</v>
      </c>
      <c r="S20" s="4">
        <f>line_productivity7[[#This Row],[Batch Change]]+line_productivity7[[#This Row],[Product Spill]]+line_productivity7[[#This Row],[Machine Adjustment]]+line_productivity7[[#This Row],[Batch Coding Error]]+line_productivity7[[#This Row],[Calibration Error]]+line_productivity7[[#This Row],[Label Switch]]</f>
        <v>40</v>
      </c>
      <c r="T20" s="4">
        <f>line_productivity7[[#This Row],[Emergency Stop]]+line_productivity7[[#This Row],[Labeling Error]]+line_productivity7[[#This Row],[Inventory Shortage]]+line_productivity7[[#This Row],[Machine Failure]]+line_productivity7[[#This Row],[Conveyor Belt Jam]]+line_productivity7[[#This Row],[Other]]</f>
        <v>0</v>
      </c>
      <c r="U20" s="4">
        <f>SUM(line_productivity7[[#This Row],[Emergency Stop]:[Other]])</f>
        <v>40</v>
      </c>
      <c r="V20" s="7">
        <f>MOD(line_productivity7[[#This Row],[End Time]]-line_productivity7[[#This Row],[Start Time]],1)*1440</f>
        <v>99.999999999999972</v>
      </c>
      <c r="W20" s="4">
        <f>line_productivity7[[#This Row],[PT]]-line_productivity7[[#This Row],[TD]]</f>
        <v>59.999999999999972</v>
      </c>
    </row>
    <row r="21" spans="1:25" x14ac:dyDescent="0.25">
      <c r="A21" s="6">
        <v>45534</v>
      </c>
      <c r="B21" s="7" t="s">
        <v>67</v>
      </c>
      <c r="C21" s="4">
        <v>422125</v>
      </c>
      <c r="D21" s="7" t="s">
        <v>66</v>
      </c>
      <c r="E21" s="8">
        <v>0.66319444444444442</v>
      </c>
      <c r="F21" s="8" t="s">
        <v>144</v>
      </c>
      <c r="G21" s="4">
        <f>SUMIFS(line_downtime[Column2],line_downtime[Column1],line_productivity7[[#This Row],[Batch]])</f>
        <v>0</v>
      </c>
      <c r="H21" s="4">
        <f>SUMIFS(line_downtime[Column3],line_downtime[Column1],line_productivity7[[#This Row],[Batch]])</f>
        <v>0</v>
      </c>
      <c r="I21" s="4">
        <f>SUMIFS(line_downtime[Column4],line_downtime[Column1],line_productivity7[[#This Row],[Batch]])</f>
        <v>0</v>
      </c>
      <c r="J21" s="4">
        <f>SUMIFS(line_downtime[Column5],line_downtime[Column1],line_productivity7[[#This Row],[Batch]])</f>
        <v>0</v>
      </c>
      <c r="K21" s="4">
        <f>SUMIFS(line_downtime[Column6],line_downtime[Column1],line_productivity7[[#This Row],[Batch]])</f>
        <v>0</v>
      </c>
      <c r="L21" s="4">
        <f>SUMIFS(line_downtime[Column7],line_downtime[Column1],line_productivity7[[#This Row],[Batch]])</f>
        <v>0</v>
      </c>
      <c r="M21" s="4">
        <f>SUMIFS(line_downtime[Column8],line_downtime[Column1],line_productivity7[[#This Row],[Batch]])</f>
        <v>0</v>
      </c>
      <c r="N21" s="4">
        <f>SUMIFS(line_downtime[Column9],line_downtime[Column1],line_productivity7[[#This Row],[Batch]])</f>
        <v>0</v>
      </c>
      <c r="O21" s="4">
        <f>SUMIFS(line_downtime[Column10],line_downtime[Column1],line_productivity7[[#This Row],[Batch]])</f>
        <v>0</v>
      </c>
      <c r="P21" s="4">
        <f>SUMIFS(line_downtime[Column11],line_downtime[Column1],line_productivity7[[#This Row],[Batch]])</f>
        <v>0</v>
      </c>
      <c r="Q21" s="4">
        <f>SUMIFS(line_downtime[Column12],line_downtime[Column1],line_productivity7[[#This Row],[Batch]])</f>
        <v>10</v>
      </c>
      <c r="R21" s="4">
        <f>SUMIFS(line_downtime[Column13],line_downtime[Column1],line_productivity7[[#This Row],[Batch]])</f>
        <v>10</v>
      </c>
      <c r="S21" s="4">
        <f>line_productivity7[[#This Row],[Batch Change]]+line_productivity7[[#This Row],[Product Spill]]+line_productivity7[[#This Row],[Machine Adjustment]]+line_productivity7[[#This Row],[Batch Coding Error]]+line_productivity7[[#This Row],[Calibration Error]]+line_productivity7[[#This Row],[Label Switch]]</f>
        <v>10</v>
      </c>
      <c r="T21" s="4">
        <f>line_productivity7[[#This Row],[Emergency Stop]]+line_productivity7[[#This Row],[Labeling Error]]+line_productivity7[[#This Row],[Inventory Shortage]]+line_productivity7[[#This Row],[Machine Failure]]+line_productivity7[[#This Row],[Conveyor Belt Jam]]+line_productivity7[[#This Row],[Other]]</f>
        <v>10</v>
      </c>
      <c r="U21" s="4">
        <f>SUM(line_productivity7[[#This Row],[Emergency Stop]:[Other]])</f>
        <v>20</v>
      </c>
      <c r="V21" s="7">
        <f>MOD(line_productivity7[[#This Row],[End Time]]-line_productivity7[[#This Row],[Start Time]],1)*1440</f>
        <v>80.000000000000028</v>
      </c>
      <c r="W21" s="4">
        <f>line_productivity7[[#This Row],[PT]]-line_productivity7[[#This Row],[TD]]</f>
        <v>60.000000000000028</v>
      </c>
    </row>
    <row r="22" spans="1:25" x14ac:dyDescent="0.25">
      <c r="A22" s="6">
        <v>45534</v>
      </c>
      <c r="B22" s="7" t="s">
        <v>67</v>
      </c>
      <c r="C22" s="4">
        <v>422126</v>
      </c>
      <c r="D22" s="7" t="s">
        <v>66</v>
      </c>
      <c r="E22" s="8">
        <v>0.71875</v>
      </c>
      <c r="F22" s="8" t="s">
        <v>145</v>
      </c>
      <c r="G22" s="4">
        <f>SUMIFS(line_downtime[Column2],line_downtime[Column1],line_productivity7[[#This Row],[Batch]])</f>
        <v>0</v>
      </c>
      <c r="H22" s="4">
        <f>SUMIFS(line_downtime[Column3],line_downtime[Column1],line_productivity7[[#This Row],[Batch]])</f>
        <v>0</v>
      </c>
      <c r="I22" s="4">
        <f>SUMIFS(line_downtime[Column4],line_downtime[Column1],line_productivity7[[#This Row],[Batch]])</f>
        <v>0</v>
      </c>
      <c r="J22" s="4">
        <f>SUMIFS(line_downtime[Column5],line_downtime[Column1],line_productivity7[[#This Row],[Batch]])</f>
        <v>0</v>
      </c>
      <c r="K22" s="4">
        <f>SUMIFS(line_downtime[Column6],line_downtime[Column1],line_productivity7[[#This Row],[Batch]])</f>
        <v>0</v>
      </c>
      <c r="L22" s="4">
        <f>SUMIFS(line_downtime[Column7],line_downtime[Column1],line_productivity7[[#This Row],[Batch]])</f>
        <v>0</v>
      </c>
      <c r="M22" s="4">
        <f>SUMIFS(line_downtime[Column8],line_downtime[Column1],line_productivity7[[#This Row],[Batch]])</f>
        <v>0</v>
      </c>
      <c r="N22" s="4">
        <f>SUMIFS(line_downtime[Column9],line_downtime[Column1],line_productivity7[[#This Row],[Batch]])</f>
        <v>44</v>
      </c>
      <c r="O22" s="4">
        <f>SUMIFS(line_downtime[Column10],line_downtime[Column1],line_productivity7[[#This Row],[Batch]])</f>
        <v>0</v>
      </c>
      <c r="P22" s="4">
        <f>SUMIFS(line_downtime[Column11],line_downtime[Column1],line_productivity7[[#This Row],[Batch]])</f>
        <v>0</v>
      </c>
      <c r="Q22" s="4">
        <f>SUMIFS(line_downtime[Column12],line_downtime[Column1],line_productivity7[[#This Row],[Batch]])</f>
        <v>0</v>
      </c>
      <c r="R22" s="4">
        <f>SUMIFS(line_downtime[Column13],line_downtime[Column1],line_productivity7[[#This Row],[Batch]])</f>
        <v>0</v>
      </c>
      <c r="S22" s="4">
        <f>line_productivity7[[#This Row],[Batch Change]]+line_productivity7[[#This Row],[Product Spill]]+line_productivity7[[#This Row],[Machine Adjustment]]+line_productivity7[[#This Row],[Batch Coding Error]]+line_productivity7[[#This Row],[Calibration Error]]+line_productivity7[[#This Row],[Label Switch]]</f>
        <v>44</v>
      </c>
      <c r="T22" s="4">
        <f>line_productivity7[[#This Row],[Emergency Stop]]+line_productivity7[[#This Row],[Labeling Error]]+line_productivity7[[#This Row],[Inventory Shortage]]+line_productivity7[[#This Row],[Machine Failure]]+line_productivity7[[#This Row],[Conveyor Belt Jam]]+line_productivity7[[#This Row],[Other]]</f>
        <v>0</v>
      </c>
      <c r="U22" s="4">
        <f>SUM(line_productivity7[[#This Row],[Emergency Stop]:[Other]])</f>
        <v>44</v>
      </c>
      <c r="V22" s="7">
        <f>MOD(line_productivity7[[#This Row],[End Time]]-line_productivity7[[#This Row],[Start Time]],1)*1440</f>
        <v>104.00000000000011</v>
      </c>
      <c r="W22" s="4">
        <f>line_productivity7[[#This Row],[PT]]-line_productivity7[[#This Row],[TD]]</f>
        <v>60.000000000000114</v>
      </c>
    </row>
    <row r="23" spans="1:25" x14ac:dyDescent="0.25">
      <c r="A23" s="6">
        <v>45534</v>
      </c>
      <c r="B23" s="7" t="s">
        <v>67</v>
      </c>
      <c r="C23" s="4">
        <v>422127</v>
      </c>
      <c r="D23" s="7" t="s">
        <v>66</v>
      </c>
      <c r="E23" s="8">
        <v>0.79097222222222219</v>
      </c>
      <c r="F23" s="8" t="s">
        <v>146</v>
      </c>
      <c r="G23" s="4">
        <f>SUMIFS(line_downtime[Column2],line_downtime[Column1],line_productivity7[[#This Row],[Batch]])</f>
        <v>0</v>
      </c>
      <c r="H23" s="4">
        <f>SUMIFS(line_downtime[Column3],line_downtime[Column1],line_productivity7[[#This Row],[Batch]])</f>
        <v>0</v>
      </c>
      <c r="I23" s="4">
        <f>SUMIFS(line_downtime[Column4],line_downtime[Column1],line_productivity7[[#This Row],[Batch]])</f>
        <v>0</v>
      </c>
      <c r="J23" s="4">
        <f>SUMIFS(line_downtime[Column5],line_downtime[Column1],line_productivity7[[#This Row],[Batch]])</f>
        <v>0</v>
      </c>
      <c r="K23" s="4">
        <f>SUMIFS(line_downtime[Column6],line_downtime[Column1],line_productivity7[[#This Row],[Batch]])</f>
        <v>0</v>
      </c>
      <c r="L23" s="4">
        <f>SUMIFS(line_downtime[Column7],line_downtime[Column1],line_productivity7[[#This Row],[Batch]])</f>
        <v>23</v>
      </c>
      <c r="M23" s="4">
        <f>SUMIFS(line_downtime[Column8],line_downtime[Column1],line_productivity7[[#This Row],[Batch]])</f>
        <v>0</v>
      </c>
      <c r="N23" s="4">
        <f>SUMIFS(line_downtime[Column9],line_downtime[Column1],line_productivity7[[#This Row],[Batch]])</f>
        <v>0</v>
      </c>
      <c r="O23" s="4">
        <f>SUMIFS(line_downtime[Column10],line_downtime[Column1],line_productivity7[[#This Row],[Batch]])</f>
        <v>0</v>
      </c>
      <c r="P23" s="4">
        <f>SUMIFS(line_downtime[Column11],line_downtime[Column1],line_productivity7[[#This Row],[Batch]])</f>
        <v>0</v>
      </c>
      <c r="Q23" s="4">
        <f>SUMIFS(line_downtime[Column12],line_downtime[Column1],line_productivity7[[#This Row],[Batch]])</f>
        <v>0</v>
      </c>
      <c r="R23" s="4">
        <f>SUMIFS(line_downtime[Column13],line_downtime[Column1],line_productivity7[[#This Row],[Batch]])</f>
        <v>0</v>
      </c>
      <c r="S23" s="4">
        <f>line_productivity7[[#This Row],[Batch Change]]+line_productivity7[[#This Row],[Product Spill]]+line_productivity7[[#This Row],[Machine Adjustment]]+line_productivity7[[#This Row],[Batch Coding Error]]+line_productivity7[[#This Row],[Calibration Error]]+line_productivity7[[#This Row],[Label Switch]]</f>
        <v>23</v>
      </c>
      <c r="T23" s="4">
        <f>line_productivity7[[#This Row],[Emergency Stop]]+line_productivity7[[#This Row],[Labeling Error]]+line_productivity7[[#This Row],[Inventory Shortage]]+line_productivity7[[#This Row],[Machine Failure]]+line_productivity7[[#This Row],[Conveyor Belt Jam]]+line_productivity7[[#This Row],[Other]]</f>
        <v>0</v>
      </c>
      <c r="U23" s="4">
        <f>SUM(line_productivity7[[#This Row],[Emergency Stop]:[Other]])</f>
        <v>23</v>
      </c>
      <c r="V23" s="7">
        <f>MOD(line_productivity7[[#This Row],[End Time]]-line_productivity7[[#This Row],[Start Time]],1)*1440</f>
        <v>83.000000000000028</v>
      </c>
      <c r="W23" s="4">
        <f>line_productivity7[[#This Row],[PT]]-line_productivity7[[#This Row],[TD]]</f>
        <v>60.000000000000028</v>
      </c>
    </row>
    <row r="24" spans="1:25" x14ac:dyDescent="0.25">
      <c r="A24" s="6">
        <v>45534</v>
      </c>
      <c r="B24" s="7" t="s">
        <v>67</v>
      </c>
      <c r="C24" s="4">
        <v>422128</v>
      </c>
      <c r="D24" s="7" t="s">
        <v>66</v>
      </c>
      <c r="E24" s="8">
        <v>0.84861111111111109</v>
      </c>
      <c r="F24" s="8" t="s">
        <v>147</v>
      </c>
      <c r="G24" s="4">
        <f>SUMIFS(line_downtime[Column2],line_downtime[Column1],line_productivity7[[#This Row],[Batch]])</f>
        <v>0</v>
      </c>
      <c r="H24" s="4">
        <f>SUMIFS(line_downtime[Column3],line_downtime[Column1],line_productivity7[[#This Row],[Batch]])</f>
        <v>0</v>
      </c>
      <c r="I24" s="4">
        <f>SUMIFS(line_downtime[Column4],line_downtime[Column1],line_productivity7[[#This Row],[Batch]])</f>
        <v>0</v>
      </c>
      <c r="J24" s="4">
        <f>SUMIFS(line_downtime[Column5],line_downtime[Column1],line_productivity7[[#This Row],[Batch]])</f>
        <v>0</v>
      </c>
      <c r="K24" s="4">
        <f>SUMIFS(line_downtime[Column6],line_downtime[Column1],line_productivity7[[#This Row],[Batch]])</f>
        <v>22</v>
      </c>
      <c r="L24" s="4">
        <f>SUMIFS(line_downtime[Column7],line_downtime[Column1],line_productivity7[[#This Row],[Batch]])</f>
        <v>0</v>
      </c>
      <c r="M24" s="4">
        <f>SUMIFS(line_downtime[Column8],line_downtime[Column1],line_productivity7[[#This Row],[Batch]])</f>
        <v>30</v>
      </c>
      <c r="N24" s="4">
        <f>SUMIFS(line_downtime[Column9],line_downtime[Column1],line_productivity7[[#This Row],[Batch]])</f>
        <v>0</v>
      </c>
      <c r="O24" s="4">
        <f>SUMIFS(line_downtime[Column10],line_downtime[Column1],line_productivity7[[#This Row],[Batch]])</f>
        <v>0</v>
      </c>
      <c r="P24" s="4">
        <f>SUMIFS(line_downtime[Column11],line_downtime[Column1],line_productivity7[[#This Row],[Batch]])</f>
        <v>0</v>
      </c>
      <c r="Q24" s="4">
        <f>SUMIFS(line_downtime[Column12],line_downtime[Column1],line_productivity7[[#This Row],[Batch]])</f>
        <v>0</v>
      </c>
      <c r="R24" s="4">
        <f>SUMIFS(line_downtime[Column13],line_downtime[Column1],line_productivity7[[#This Row],[Batch]])</f>
        <v>0</v>
      </c>
      <c r="S24" s="4">
        <f>line_productivity7[[#This Row],[Batch Change]]+line_productivity7[[#This Row],[Product Spill]]+line_productivity7[[#This Row],[Machine Adjustment]]+line_productivity7[[#This Row],[Batch Coding Error]]+line_productivity7[[#This Row],[Calibration Error]]+line_productivity7[[#This Row],[Label Switch]]</f>
        <v>22</v>
      </c>
      <c r="T24" s="4">
        <f>line_productivity7[[#This Row],[Emergency Stop]]+line_productivity7[[#This Row],[Labeling Error]]+line_productivity7[[#This Row],[Inventory Shortage]]+line_productivity7[[#This Row],[Machine Failure]]+line_productivity7[[#This Row],[Conveyor Belt Jam]]+line_productivity7[[#This Row],[Other]]</f>
        <v>30</v>
      </c>
      <c r="U24" s="4">
        <f>SUM(line_productivity7[[#This Row],[Emergency Stop]:[Other]])</f>
        <v>52</v>
      </c>
      <c r="V24" s="7">
        <f>MOD(line_productivity7[[#This Row],[End Time]]-line_productivity7[[#This Row],[Start Time]],1)*1440</f>
        <v>112.00000000000009</v>
      </c>
      <c r="W24" s="4">
        <f>line_productivity7[[#This Row],[PT]]-line_productivity7[[#This Row],[TD]]</f>
        <v>60.000000000000085</v>
      </c>
    </row>
    <row r="25" spans="1:25" x14ac:dyDescent="0.25">
      <c r="A25" s="6">
        <v>45534</v>
      </c>
      <c r="B25" s="7" t="s">
        <v>67</v>
      </c>
      <c r="C25" s="4">
        <v>422129</v>
      </c>
      <c r="D25" s="7" t="s">
        <v>66</v>
      </c>
      <c r="E25" s="8">
        <v>0.92638888888888893</v>
      </c>
      <c r="F25" s="8" t="s">
        <v>148</v>
      </c>
      <c r="G25" s="4">
        <f>SUMIFS(line_downtime[Column2],line_downtime[Column1],line_productivity7[[#This Row],[Batch]])</f>
        <v>0</v>
      </c>
      <c r="H25" s="4">
        <f>SUMIFS(line_downtime[Column3],line_downtime[Column1],line_productivity7[[#This Row],[Batch]])</f>
        <v>0</v>
      </c>
      <c r="I25" s="4">
        <f>SUMIFS(line_downtime[Column4],line_downtime[Column1],line_productivity7[[#This Row],[Batch]])</f>
        <v>0</v>
      </c>
      <c r="J25" s="4">
        <f>SUMIFS(line_downtime[Column5],line_downtime[Column1],line_productivity7[[#This Row],[Batch]])</f>
        <v>0</v>
      </c>
      <c r="K25" s="4">
        <f>SUMIFS(line_downtime[Column6],line_downtime[Column1],line_productivity7[[#This Row],[Batch]])</f>
        <v>0</v>
      </c>
      <c r="L25" s="4">
        <f>SUMIFS(line_downtime[Column7],line_downtime[Column1],line_productivity7[[#This Row],[Batch]])</f>
        <v>0</v>
      </c>
      <c r="M25" s="4">
        <f>SUMIFS(line_downtime[Column8],line_downtime[Column1],line_productivity7[[#This Row],[Batch]])</f>
        <v>0</v>
      </c>
      <c r="N25" s="4">
        <f>SUMIFS(line_downtime[Column9],line_downtime[Column1],line_productivity7[[#This Row],[Batch]])</f>
        <v>0</v>
      </c>
      <c r="O25" s="4">
        <f>SUMIFS(line_downtime[Column10],line_downtime[Column1],line_productivity7[[#This Row],[Batch]])</f>
        <v>0</v>
      </c>
      <c r="P25" s="4">
        <f>SUMIFS(line_downtime[Column11],line_downtime[Column1],line_productivity7[[#This Row],[Batch]])</f>
        <v>0</v>
      </c>
      <c r="Q25" s="4">
        <f>SUMIFS(line_downtime[Column12],line_downtime[Column1],line_productivity7[[#This Row],[Batch]])</f>
        <v>0</v>
      </c>
      <c r="R25" s="4">
        <f>SUMIFS(line_downtime[Column13],line_downtime[Column1],line_productivity7[[#This Row],[Batch]])</f>
        <v>15</v>
      </c>
      <c r="S25" s="4">
        <f>line_productivity7[[#This Row],[Batch Change]]+line_productivity7[[#This Row],[Product Spill]]+line_productivity7[[#This Row],[Machine Adjustment]]+line_productivity7[[#This Row],[Batch Coding Error]]+line_productivity7[[#This Row],[Calibration Error]]+line_productivity7[[#This Row],[Label Switch]]</f>
        <v>0</v>
      </c>
      <c r="T25" s="4">
        <f>line_productivity7[[#This Row],[Emergency Stop]]+line_productivity7[[#This Row],[Labeling Error]]+line_productivity7[[#This Row],[Inventory Shortage]]+line_productivity7[[#This Row],[Machine Failure]]+line_productivity7[[#This Row],[Conveyor Belt Jam]]+line_productivity7[[#This Row],[Other]]</f>
        <v>15</v>
      </c>
      <c r="U25" s="4">
        <f>SUM(line_productivity7[[#This Row],[Emergency Stop]:[Other]])</f>
        <v>15</v>
      </c>
      <c r="V25" s="7">
        <f>MOD(line_productivity7[[#This Row],[End Time]]-line_productivity7[[#This Row],[Start Time]],1)*1440</f>
        <v>75.000000000000057</v>
      </c>
      <c r="W25" s="4">
        <f>line_productivity7[[#This Row],[PT]]-line_productivity7[[#This Row],[TD]]</f>
        <v>60.000000000000057</v>
      </c>
    </row>
    <row r="26" spans="1:25" x14ac:dyDescent="0.25">
      <c r="A26" s="6">
        <v>45535</v>
      </c>
      <c r="B26" s="7" t="s">
        <v>67</v>
      </c>
      <c r="C26" s="4">
        <v>422130</v>
      </c>
      <c r="D26" s="7" t="s">
        <v>68</v>
      </c>
      <c r="E26" s="8">
        <v>0.32291666666666669</v>
      </c>
      <c r="F26" s="8" t="s">
        <v>149</v>
      </c>
      <c r="G26" s="4">
        <f>SUMIFS(line_downtime[Column2],line_downtime[Column1],line_productivity7[[#This Row],[Batch]])</f>
        <v>0</v>
      </c>
      <c r="H26" s="4">
        <f>SUMIFS(line_downtime[Column3],line_downtime[Column1],line_productivity7[[#This Row],[Batch]])</f>
        <v>20</v>
      </c>
      <c r="I26" s="4">
        <f>SUMIFS(line_downtime[Column4],line_downtime[Column1],line_productivity7[[#This Row],[Batch]])</f>
        <v>0</v>
      </c>
      <c r="J26" s="4">
        <f>SUMIFS(line_downtime[Column5],line_downtime[Column1],line_productivity7[[#This Row],[Batch]])</f>
        <v>0</v>
      </c>
      <c r="K26" s="4">
        <f>SUMIFS(line_downtime[Column6],line_downtime[Column1],line_productivity7[[#This Row],[Batch]])</f>
        <v>0</v>
      </c>
      <c r="L26" s="4">
        <f>SUMIFS(line_downtime[Column7],line_downtime[Column1],line_productivity7[[#This Row],[Batch]])</f>
        <v>0</v>
      </c>
      <c r="M26" s="4">
        <f>SUMIFS(line_downtime[Column8],line_downtime[Column1],line_productivity7[[#This Row],[Batch]])</f>
        <v>0</v>
      </c>
      <c r="N26" s="4">
        <f>SUMIFS(line_downtime[Column9],line_downtime[Column1],line_productivity7[[#This Row],[Batch]])</f>
        <v>0</v>
      </c>
      <c r="O26" s="4">
        <f>SUMIFS(line_downtime[Column10],line_downtime[Column1],line_productivity7[[#This Row],[Batch]])</f>
        <v>0</v>
      </c>
      <c r="P26" s="4">
        <f>SUMIFS(line_downtime[Column11],line_downtime[Column1],line_productivity7[[#This Row],[Batch]])</f>
        <v>0</v>
      </c>
      <c r="Q26" s="4">
        <f>SUMIFS(line_downtime[Column12],line_downtime[Column1],line_productivity7[[#This Row],[Batch]])</f>
        <v>0</v>
      </c>
      <c r="R26" s="4">
        <f>SUMIFS(line_downtime[Column13],line_downtime[Column1],line_productivity7[[#This Row],[Batch]])</f>
        <v>0</v>
      </c>
      <c r="S26" s="4">
        <f>line_productivity7[[#This Row],[Batch Change]]+line_productivity7[[#This Row],[Product Spill]]+line_productivity7[[#This Row],[Machine Adjustment]]+line_productivity7[[#This Row],[Batch Coding Error]]+line_productivity7[[#This Row],[Calibration Error]]+line_productivity7[[#This Row],[Label Switch]]</f>
        <v>20</v>
      </c>
      <c r="T26" s="4">
        <f>line_productivity7[[#This Row],[Emergency Stop]]+line_productivity7[[#This Row],[Labeling Error]]+line_productivity7[[#This Row],[Inventory Shortage]]+line_productivity7[[#This Row],[Machine Failure]]+line_productivity7[[#This Row],[Conveyor Belt Jam]]+line_productivity7[[#This Row],[Other]]</f>
        <v>0</v>
      </c>
      <c r="U26" s="4">
        <f>SUM(line_productivity7[[#This Row],[Emergency Stop]:[Other]])</f>
        <v>20</v>
      </c>
      <c r="V26" s="7">
        <f>MOD(line_productivity7[[#This Row],[End Time]]-line_productivity7[[#This Row],[Start Time]],1)*1440</f>
        <v>80.000000000000028</v>
      </c>
      <c r="W26" s="4">
        <f>line_productivity7[[#This Row],[PT]]-line_productivity7[[#This Row],[TD]]</f>
        <v>60.000000000000028</v>
      </c>
    </row>
    <row r="27" spans="1:25" x14ac:dyDescent="0.25">
      <c r="A27" s="6">
        <v>45535</v>
      </c>
      <c r="B27" s="7" t="s">
        <v>67</v>
      </c>
      <c r="C27" s="4">
        <v>422131</v>
      </c>
      <c r="D27" s="7" t="s">
        <v>68</v>
      </c>
      <c r="E27" s="8">
        <v>0.37847222222222221</v>
      </c>
      <c r="F27" s="8" t="s">
        <v>150</v>
      </c>
      <c r="G27" s="4">
        <f>SUMIFS(line_downtime[Column2],line_downtime[Column1],line_productivity7[[#This Row],[Batch]])</f>
        <v>0</v>
      </c>
      <c r="H27" s="4">
        <f>SUMIFS(line_downtime[Column3],line_downtime[Column1],line_productivity7[[#This Row],[Batch]])</f>
        <v>0</v>
      </c>
      <c r="I27" s="4">
        <f>SUMIFS(line_downtime[Column4],line_downtime[Column1],line_productivity7[[#This Row],[Batch]])</f>
        <v>0</v>
      </c>
      <c r="J27" s="4">
        <f>SUMIFS(line_downtime[Column5],line_downtime[Column1],line_productivity7[[#This Row],[Batch]])</f>
        <v>20</v>
      </c>
      <c r="K27" s="4">
        <f>SUMIFS(line_downtime[Column6],line_downtime[Column1],line_productivity7[[#This Row],[Batch]])</f>
        <v>0</v>
      </c>
      <c r="L27" s="4">
        <f>SUMIFS(line_downtime[Column7],line_downtime[Column1],line_productivity7[[#This Row],[Batch]])</f>
        <v>0</v>
      </c>
      <c r="M27" s="4">
        <f>SUMIFS(line_downtime[Column8],line_downtime[Column1],line_productivity7[[#This Row],[Batch]])</f>
        <v>0</v>
      </c>
      <c r="N27" s="4">
        <f>SUMIFS(line_downtime[Column9],line_downtime[Column1],line_productivity7[[#This Row],[Batch]])</f>
        <v>0</v>
      </c>
      <c r="O27" s="4">
        <f>SUMIFS(line_downtime[Column10],line_downtime[Column1],line_productivity7[[#This Row],[Batch]])</f>
        <v>0</v>
      </c>
      <c r="P27" s="4">
        <f>SUMIFS(line_downtime[Column11],line_downtime[Column1],line_productivity7[[#This Row],[Batch]])</f>
        <v>10</v>
      </c>
      <c r="Q27" s="4">
        <f>SUMIFS(line_downtime[Column12],line_downtime[Column1],line_productivity7[[#This Row],[Batch]])</f>
        <v>0</v>
      </c>
      <c r="R27" s="4">
        <f>SUMIFS(line_downtime[Column13],line_downtime[Column1],line_productivity7[[#This Row],[Batch]])</f>
        <v>0</v>
      </c>
      <c r="S27" s="4">
        <f>line_productivity7[[#This Row],[Batch Change]]+line_productivity7[[#This Row],[Product Spill]]+line_productivity7[[#This Row],[Machine Adjustment]]+line_productivity7[[#This Row],[Batch Coding Error]]+line_productivity7[[#This Row],[Calibration Error]]+line_productivity7[[#This Row],[Label Switch]]</f>
        <v>10</v>
      </c>
      <c r="T27" s="4">
        <f>line_productivity7[[#This Row],[Emergency Stop]]+line_productivity7[[#This Row],[Labeling Error]]+line_productivity7[[#This Row],[Inventory Shortage]]+line_productivity7[[#This Row],[Machine Failure]]+line_productivity7[[#This Row],[Conveyor Belt Jam]]+line_productivity7[[#This Row],[Other]]</f>
        <v>20</v>
      </c>
      <c r="U27" s="4">
        <f>SUM(line_productivity7[[#This Row],[Emergency Stop]:[Other]])</f>
        <v>30</v>
      </c>
      <c r="V27" s="7">
        <f>MOD(line_productivity7[[#This Row],[End Time]]-line_productivity7[[#This Row],[Start Time]],1)*1440</f>
        <v>90.000000000000085</v>
      </c>
      <c r="W27" s="4">
        <f>line_productivity7[[#This Row],[PT]]-line_productivity7[[#This Row],[TD]]</f>
        <v>60.000000000000085</v>
      </c>
    </row>
    <row r="28" spans="1:25" x14ac:dyDescent="0.25">
      <c r="A28" s="6">
        <v>45535</v>
      </c>
      <c r="B28" s="7" t="s">
        <v>67</v>
      </c>
      <c r="C28" s="4">
        <v>422132</v>
      </c>
      <c r="D28" s="7" t="s">
        <v>68</v>
      </c>
      <c r="E28" s="8">
        <v>0.44097222222222221</v>
      </c>
      <c r="F28" s="8" t="s">
        <v>151</v>
      </c>
      <c r="G28" s="4">
        <f>SUMIFS(line_downtime[Column2],line_downtime[Column1],line_productivity7[[#This Row],[Batch]])</f>
        <v>0</v>
      </c>
      <c r="H28" s="4">
        <f>SUMIFS(line_downtime[Column3],line_downtime[Column1],line_productivity7[[#This Row],[Batch]])</f>
        <v>0</v>
      </c>
      <c r="I28" s="4">
        <f>SUMIFS(line_downtime[Column4],line_downtime[Column1],line_productivity7[[#This Row],[Batch]])</f>
        <v>0</v>
      </c>
      <c r="J28" s="4">
        <f>SUMIFS(line_downtime[Column5],line_downtime[Column1],line_productivity7[[#This Row],[Batch]])</f>
        <v>0</v>
      </c>
      <c r="K28" s="4">
        <f>SUMIFS(line_downtime[Column6],line_downtime[Column1],line_productivity7[[#This Row],[Batch]])</f>
        <v>0</v>
      </c>
      <c r="L28" s="4">
        <f>SUMIFS(line_downtime[Column7],line_downtime[Column1],line_productivity7[[#This Row],[Batch]])</f>
        <v>0</v>
      </c>
      <c r="M28" s="4">
        <f>SUMIFS(line_downtime[Column8],line_downtime[Column1],line_productivity7[[#This Row],[Batch]])</f>
        <v>0</v>
      </c>
      <c r="N28" s="4">
        <f>SUMIFS(line_downtime[Column9],line_downtime[Column1],line_productivity7[[#This Row],[Batch]])</f>
        <v>0</v>
      </c>
      <c r="O28" s="4">
        <f>SUMIFS(line_downtime[Column10],line_downtime[Column1],line_productivity7[[#This Row],[Batch]])</f>
        <v>0</v>
      </c>
      <c r="P28" s="4">
        <f>SUMIFS(line_downtime[Column11],line_downtime[Column1],line_productivity7[[#This Row],[Batch]])</f>
        <v>0</v>
      </c>
      <c r="Q28" s="4">
        <f>SUMIFS(line_downtime[Column12],line_downtime[Column1],line_productivity7[[#This Row],[Batch]])</f>
        <v>0</v>
      </c>
      <c r="R28" s="4">
        <f>SUMIFS(line_downtime[Column13],line_downtime[Column1],line_productivity7[[#This Row],[Batch]])</f>
        <v>0</v>
      </c>
      <c r="S28" s="4">
        <f>line_productivity7[[#This Row],[Batch Change]]+line_productivity7[[#This Row],[Product Spill]]+line_productivity7[[#This Row],[Machine Adjustment]]+line_productivity7[[#This Row],[Batch Coding Error]]+line_productivity7[[#This Row],[Calibration Error]]+line_productivity7[[#This Row],[Label Switch]]</f>
        <v>0</v>
      </c>
      <c r="T28" s="4">
        <f>line_productivity7[[#This Row],[Emergency Stop]]+line_productivity7[[#This Row],[Labeling Error]]+line_productivity7[[#This Row],[Inventory Shortage]]+line_productivity7[[#This Row],[Machine Failure]]+line_productivity7[[#This Row],[Conveyor Belt Jam]]+line_productivity7[[#This Row],[Other]]</f>
        <v>0</v>
      </c>
      <c r="U28" s="4">
        <f>SUM(line_productivity7[[#This Row],[Emergency Stop]:[Other]])</f>
        <v>0</v>
      </c>
      <c r="V28" s="7">
        <f>MOD(line_productivity7[[#This Row],[End Time]]-line_productivity7[[#This Row],[Start Time]],1)*1440</f>
        <v>60.000000000000028</v>
      </c>
      <c r="W28" s="4">
        <f>line_productivity7[[#This Row],[PT]]-line_productivity7[[#This Row],[TD]]</f>
        <v>60.000000000000028</v>
      </c>
    </row>
    <row r="29" spans="1:25" x14ac:dyDescent="0.25">
      <c r="A29" s="6">
        <v>45535</v>
      </c>
      <c r="B29" s="7" t="s">
        <v>70</v>
      </c>
      <c r="C29" s="4">
        <v>422133</v>
      </c>
      <c r="D29" s="7" t="s">
        <v>68</v>
      </c>
      <c r="E29" s="8">
        <v>0.4826388888888889</v>
      </c>
      <c r="F29" s="8" t="s">
        <v>152</v>
      </c>
      <c r="G29" s="4">
        <f>SUMIFS(line_downtime[Column2],line_downtime[Column1],line_productivity7[[#This Row],[Batch]])</f>
        <v>0</v>
      </c>
      <c r="H29" s="4">
        <f>SUMIFS(line_downtime[Column3],line_downtime[Column1],line_productivity7[[#This Row],[Batch]])</f>
        <v>0</v>
      </c>
      <c r="I29" s="4">
        <f>SUMIFS(line_downtime[Column4],line_downtime[Column1],line_productivity7[[#This Row],[Batch]])</f>
        <v>0</v>
      </c>
      <c r="J29" s="4">
        <f>SUMIFS(line_downtime[Column5],line_downtime[Column1],line_productivity7[[#This Row],[Batch]])</f>
        <v>0</v>
      </c>
      <c r="K29" s="4">
        <f>SUMIFS(line_downtime[Column6],line_downtime[Column1],line_productivity7[[#This Row],[Batch]])</f>
        <v>0</v>
      </c>
      <c r="L29" s="4">
        <f>SUMIFS(line_downtime[Column7],line_downtime[Column1],line_productivity7[[#This Row],[Batch]])</f>
        <v>0</v>
      </c>
      <c r="M29" s="4">
        <f>SUMIFS(line_downtime[Column8],line_downtime[Column1],line_productivity7[[#This Row],[Batch]])</f>
        <v>20</v>
      </c>
      <c r="N29" s="4">
        <f>SUMIFS(line_downtime[Column9],line_downtime[Column1],line_productivity7[[#This Row],[Batch]])</f>
        <v>0</v>
      </c>
      <c r="O29" s="4">
        <f>SUMIFS(line_downtime[Column10],line_downtime[Column1],line_productivity7[[#This Row],[Batch]])</f>
        <v>0</v>
      </c>
      <c r="P29" s="4">
        <f>SUMIFS(line_downtime[Column11],line_downtime[Column1],line_productivity7[[#This Row],[Batch]])</f>
        <v>0</v>
      </c>
      <c r="Q29" s="4">
        <f>SUMIFS(line_downtime[Column12],line_downtime[Column1],line_productivity7[[#This Row],[Batch]])</f>
        <v>0</v>
      </c>
      <c r="R29" s="4">
        <f>SUMIFS(line_downtime[Column13],line_downtime[Column1],line_productivity7[[#This Row],[Batch]])</f>
        <v>0</v>
      </c>
      <c r="S29" s="4">
        <f>line_productivity7[[#This Row],[Batch Change]]+line_productivity7[[#This Row],[Product Spill]]+line_productivity7[[#This Row],[Machine Adjustment]]+line_productivity7[[#This Row],[Batch Coding Error]]+line_productivity7[[#This Row],[Calibration Error]]+line_productivity7[[#This Row],[Label Switch]]</f>
        <v>0</v>
      </c>
      <c r="T29" s="4">
        <f>line_productivity7[[#This Row],[Emergency Stop]]+line_productivity7[[#This Row],[Labeling Error]]+line_productivity7[[#This Row],[Inventory Shortage]]+line_productivity7[[#This Row],[Machine Failure]]+line_productivity7[[#This Row],[Conveyor Belt Jam]]+line_productivity7[[#This Row],[Other]]</f>
        <v>20</v>
      </c>
      <c r="U29" s="4">
        <f>SUM(line_productivity7[[#This Row],[Emergency Stop]:[Other]])</f>
        <v>20</v>
      </c>
      <c r="V29" s="7">
        <f>MOD(line_productivity7[[#This Row],[End Time]]-line_productivity7[[#This Row],[Start Time]],1)*1440</f>
        <v>79.999999999999957</v>
      </c>
      <c r="W29" s="4">
        <f>line_productivity7[[#This Row],[PT]]-line_productivity7[[#This Row],[TD]]</f>
        <v>59.999999999999957</v>
      </c>
    </row>
    <row r="30" spans="1:25" x14ac:dyDescent="0.25">
      <c r="A30" s="6">
        <v>45535</v>
      </c>
      <c r="B30" s="7" t="s">
        <v>70</v>
      </c>
      <c r="C30" s="4">
        <v>422134</v>
      </c>
      <c r="D30" s="7" t="s">
        <v>64</v>
      </c>
      <c r="E30" s="8">
        <v>0.53819444444444442</v>
      </c>
      <c r="F30" s="8" t="s">
        <v>153</v>
      </c>
      <c r="G30" s="4">
        <f>SUMIFS(line_downtime[Column2],line_downtime[Column1],line_productivity7[[#This Row],[Batch]])</f>
        <v>0</v>
      </c>
      <c r="H30" s="4">
        <f>SUMIFS(line_downtime[Column3],line_downtime[Column1],line_productivity7[[#This Row],[Batch]])</f>
        <v>0</v>
      </c>
      <c r="I30" s="4">
        <f>SUMIFS(line_downtime[Column4],line_downtime[Column1],line_productivity7[[#This Row],[Batch]])</f>
        <v>0</v>
      </c>
      <c r="J30" s="4">
        <f>SUMIFS(line_downtime[Column5],line_downtime[Column1],line_productivity7[[#This Row],[Batch]])</f>
        <v>0</v>
      </c>
      <c r="K30" s="4">
        <f>SUMIFS(line_downtime[Column6],line_downtime[Column1],line_productivity7[[#This Row],[Batch]])</f>
        <v>0</v>
      </c>
      <c r="L30" s="4">
        <f>SUMIFS(line_downtime[Column7],line_downtime[Column1],line_productivity7[[#This Row],[Batch]])</f>
        <v>0</v>
      </c>
      <c r="M30" s="4">
        <f>SUMIFS(line_downtime[Column8],line_downtime[Column1],line_productivity7[[#This Row],[Batch]])</f>
        <v>30</v>
      </c>
      <c r="N30" s="4">
        <f>SUMIFS(line_downtime[Column9],line_downtime[Column1],line_productivity7[[#This Row],[Batch]])</f>
        <v>20</v>
      </c>
      <c r="O30" s="4">
        <f>SUMIFS(line_downtime[Column10],line_downtime[Column1],line_productivity7[[#This Row],[Batch]])</f>
        <v>0</v>
      </c>
      <c r="P30" s="4">
        <f>SUMIFS(line_downtime[Column11],line_downtime[Column1],line_productivity7[[#This Row],[Batch]])</f>
        <v>0</v>
      </c>
      <c r="Q30" s="4">
        <f>SUMIFS(line_downtime[Column12],line_downtime[Column1],line_productivity7[[#This Row],[Batch]])</f>
        <v>0</v>
      </c>
      <c r="R30" s="4">
        <f>SUMIFS(line_downtime[Column13],line_downtime[Column1],line_productivity7[[#This Row],[Batch]])</f>
        <v>0</v>
      </c>
      <c r="S30" s="4">
        <f>line_productivity7[[#This Row],[Batch Change]]+line_productivity7[[#This Row],[Product Spill]]+line_productivity7[[#This Row],[Machine Adjustment]]+line_productivity7[[#This Row],[Batch Coding Error]]+line_productivity7[[#This Row],[Calibration Error]]+line_productivity7[[#This Row],[Label Switch]]</f>
        <v>20</v>
      </c>
      <c r="T30" s="4">
        <f>line_productivity7[[#This Row],[Emergency Stop]]+line_productivity7[[#This Row],[Labeling Error]]+line_productivity7[[#This Row],[Inventory Shortage]]+line_productivity7[[#This Row],[Machine Failure]]+line_productivity7[[#This Row],[Conveyor Belt Jam]]+line_productivity7[[#This Row],[Other]]</f>
        <v>30</v>
      </c>
      <c r="U30" s="4">
        <f>SUM(line_productivity7[[#This Row],[Emergency Stop]:[Other]])</f>
        <v>50</v>
      </c>
      <c r="V30" s="7">
        <f>MOD(line_productivity7[[#This Row],[End Time]]-line_productivity7[[#This Row],[Start Time]],1)*1440</f>
        <v>110.00000000000009</v>
      </c>
      <c r="W30" s="4">
        <f>line_productivity7[[#This Row],[PT]]-line_productivity7[[#This Row],[TD]]</f>
        <v>60.000000000000085</v>
      </c>
    </row>
    <row r="31" spans="1:25" x14ac:dyDescent="0.25">
      <c r="A31" s="6">
        <v>45535</v>
      </c>
      <c r="B31" s="7" t="s">
        <v>70</v>
      </c>
      <c r="C31" s="4">
        <v>422135</v>
      </c>
      <c r="D31" s="7" t="s">
        <v>64</v>
      </c>
      <c r="E31" s="8">
        <v>0.61458333333333337</v>
      </c>
      <c r="F31" s="8" t="s">
        <v>154</v>
      </c>
      <c r="G31" s="4">
        <f>SUMIFS(line_downtime[Column2],line_downtime[Column1],line_productivity7[[#This Row],[Batch]])</f>
        <v>0</v>
      </c>
      <c r="H31" s="4">
        <f>SUMIFS(line_downtime[Column3],line_downtime[Column1],line_productivity7[[#This Row],[Batch]])</f>
        <v>0</v>
      </c>
      <c r="I31" s="4">
        <f>SUMIFS(line_downtime[Column4],line_downtime[Column1],line_productivity7[[#This Row],[Batch]])</f>
        <v>0</v>
      </c>
      <c r="J31" s="4">
        <f>SUMIFS(line_downtime[Column5],line_downtime[Column1],line_productivity7[[#This Row],[Batch]])</f>
        <v>30</v>
      </c>
      <c r="K31" s="4">
        <f>SUMIFS(line_downtime[Column6],line_downtime[Column1],line_productivity7[[#This Row],[Batch]])</f>
        <v>0</v>
      </c>
      <c r="L31" s="4">
        <f>SUMIFS(line_downtime[Column7],line_downtime[Column1],line_productivity7[[#This Row],[Batch]])</f>
        <v>0</v>
      </c>
      <c r="M31" s="4">
        <f>SUMIFS(line_downtime[Column8],line_downtime[Column1],line_productivity7[[#This Row],[Batch]])</f>
        <v>0</v>
      </c>
      <c r="N31" s="4">
        <f>SUMIFS(line_downtime[Column9],line_downtime[Column1],line_productivity7[[#This Row],[Batch]])</f>
        <v>0</v>
      </c>
      <c r="O31" s="4">
        <f>SUMIFS(line_downtime[Column10],line_downtime[Column1],line_productivity7[[#This Row],[Batch]])</f>
        <v>0</v>
      </c>
      <c r="P31" s="4">
        <f>SUMIFS(line_downtime[Column11],line_downtime[Column1],line_productivity7[[#This Row],[Batch]])</f>
        <v>0</v>
      </c>
      <c r="Q31" s="4">
        <f>SUMIFS(line_downtime[Column12],line_downtime[Column1],line_productivity7[[#This Row],[Batch]])</f>
        <v>0</v>
      </c>
      <c r="R31" s="4">
        <f>SUMIFS(line_downtime[Column13],line_downtime[Column1],line_productivity7[[#This Row],[Batch]])</f>
        <v>15</v>
      </c>
      <c r="S31" s="4">
        <f>line_productivity7[[#This Row],[Batch Change]]+line_productivity7[[#This Row],[Product Spill]]+line_productivity7[[#This Row],[Machine Adjustment]]+line_productivity7[[#This Row],[Batch Coding Error]]+line_productivity7[[#This Row],[Calibration Error]]+line_productivity7[[#This Row],[Label Switch]]</f>
        <v>0</v>
      </c>
      <c r="T31" s="4">
        <f>line_productivity7[[#This Row],[Emergency Stop]]+line_productivity7[[#This Row],[Labeling Error]]+line_productivity7[[#This Row],[Inventory Shortage]]+line_productivity7[[#This Row],[Machine Failure]]+line_productivity7[[#This Row],[Conveyor Belt Jam]]+line_productivity7[[#This Row],[Other]]</f>
        <v>45</v>
      </c>
      <c r="U31" s="4">
        <f>SUM(line_productivity7[[#This Row],[Emergency Stop]:[Other]])</f>
        <v>45</v>
      </c>
      <c r="V31" s="7">
        <f>MOD(line_productivity7[[#This Row],[End Time]]-line_productivity7[[#This Row],[Start Time]],1)*1440</f>
        <v>104.99999999999994</v>
      </c>
      <c r="W31" s="4">
        <f>line_productivity7[[#This Row],[PT]]-line_productivity7[[#This Row],[TD]]</f>
        <v>59.999999999999943</v>
      </c>
    </row>
    <row r="32" spans="1:25" x14ac:dyDescent="0.25">
      <c r="A32" s="6">
        <v>45535</v>
      </c>
      <c r="B32" s="7" t="s">
        <v>70</v>
      </c>
      <c r="C32" s="4">
        <v>422136</v>
      </c>
      <c r="D32" s="7" t="s">
        <v>64</v>
      </c>
      <c r="E32" s="8">
        <v>0.6875</v>
      </c>
      <c r="F32" s="8" t="s">
        <v>155</v>
      </c>
      <c r="G32" s="4">
        <f>SUMIFS(line_downtime[Column2],line_downtime[Column1],line_productivity7[[#This Row],[Batch]])</f>
        <v>0</v>
      </c>
      <c r="H32" s="4">
        <f>SUMIFS(line_downtime[Column3],line_downtime[Column1],line_productivity7[[#This Row],[Batch]])</f>
        <v>0</v>
      </c>
      <c r="I32" s="4">
        <f>SUMIFS(line_downtime[Column4],line_downtime[Column1],line_productivity7[[#This Row],[Batch]])</f>
        <v>0</v>
      </c>
      <c r="J32" s="4">
        <f>SUMIFS(line_downtime[Column5],line_downtime[Column1],line_productivity7[[#This Row],[Batch]])</f>
        <v>0</v>
      </c>
      <c r="K32" s="4">
        <f>SUMIFS(line_downtime[Column6],line_downtime[Column1],line_productivity7[[#This Row],[Batch]])</f>
        <v>0</v>
      </c>
      <c r="L32" s="4">
        <f>SUMIFS(line_downtime[Column7],line_downtime[Column1],line_productivity7[[#This Row],[Batch]])</f>
        <v>0</v>
      </c>
      <c r="M32" s="4">
        <f>SUMIFS(line_downtime[Column8],line_downtime[Column1],line_productivity7[[#This Row],[Batch]])</f>
        <v>0</v>
      </c>
      <c r="N32" s="4">
        <f>SUMIFS(line_downtime[Column9],line_downtime[Column1],line_productivity7[[#This Row],[Batch]])</f>
        <v>0</v>
      </c>
      <c r="O32" s="4">
        <f>SUMIFS(line_downtime[Column10],line_downtime[Column1],line_productivity7[[#This Row],[Batch]])</f>
        <v>0</v>
      </c>
      <c r="P32" s="4">
        <f>SUMIFS(line_downtime[Column11],line_downtime[Column1],line_productivity7[[#This Row],[Batch]])</f>
        <v>0</v>
      </c>
      <c r="Q32" s="4">
        <f>SUMIFS(line_downtime[Column12],line_downtime[Column1],line_productivity7[[#This Row],[Batch]])</f>
        <v>0</v>
      </c>
      <c r="R32" s="4">
        <f>SUMIFS(line_downtime[Column13],line_downtime[Column1],line_productivity7[[#This Row],[Batch]])</f>
        <v>0</v>
      </c>
      <c r="S32" s="4">
        <f>line_productivity7[[#This Row],[Batch Change]]+line_productivity7[[#This Row],[Product Spill]]+line_productivity7[[#This Row],[Machine Adjustment]]+line_productivity7[[#This Row],[Batch Coding Error]]+line_productivity7[[#This Row],[Calibration Error]]+line_productivity7[[#This Row],[Label Switch]]</f>
        <v>0</v>
      </c>
      <c r="T32" s="4">
        <f>line_productivity7[[#This Row],[Emergency Stop]]+line_productivity7[[#This Row],[Labeling Error]]+line_productivity7[[#This Row],[Inventory Shortage]]+line_productivity7[[#This Row],[Machine Failure]]+line_productivity7[[#This Row],[Conveyor Belt Jam]]+line_productivity7[[#This Row],[Other]]</f>
        <v>0</v>
      </c>
      <c r="U32" s="4">
        <f>SUM(line_productivity7[[#This Row],[Emergency Stop]:[Other]])</f>
        <v>0</v>
      </c>
      <c r="V32" s="7">
        <f>MOD(line_productivity7[[#This Row],[End Time]]-line_productivity7[[#This Row],[Start Time]],1)*1440</f>
        <v>59.999999999999943</v>
      </c>
      <c r="W32" s="4">
        <f>line_productivity7[[#This Row],[PT]]-line_productivity7[[#This Row],[TD]]</f>
        <v>59.999999999999943</v>
      </c>
    </row>
    <row r="33" spans="1:23" x14ac:dyDescent="0.25">
      <c r="A33" s="6">
        <v>45537</v>
      </c>
      <c r="B33" s="7" t="s">
        <v>71</v>
      </c>
      <c r="C33" s="4">
        <v>422144</v>
      </c>
      <c r="D33" s="7" t="s">
        <v>69</v>
      </c>
      <c r="E33" s="8">
        <v>0.51249999999999996</v>
      </c>
      <c r="F33" s="8" t="s">
        <v>156</v>
      </c>
      <c r="G33" s="4">
        <f>SUMIFS(line_downtime[Column2],line_downtime[Column1],line_productivity7[[#This Row],[Batch]])</f>
        <v>0</v>
      </c>
      <c r="H33" s="4">
        <f>SUMIFS(line_downtime[Column3],line_downtime[Column1],line_productivity7[[#This Row],[Batch]])</f>
        <v>0</v>
      </c>
      <c r="I33" s="4">
        <f>SUMIFS(line_downtime[Column4],line_downtime[Column1],line_productivity7[[#This Row],[Batch]])</f>
        <v>0</v>
      </c>
      <c r="J33" s="4">
        <f>SUMIFS(line_downtime[Column5],line_downtime[Column1],line_productivity7[[#This Row],[Batch]])</f>
        <v>0</v>
      </c>
      <c r="K33" s="4">
        <f>SUMIFS(line_downtime[Column6],line_downtime[Column1],line_productivity7[[#This Row],[Batch]])</f>
        <v>0</v>
      </c>
      <c r="L33" s="4">
        <f>SUMIFS(line_downtime[Column7],line_downtime[Column1],line_productivity7[[#This Row],[Batch]])</f>
        <v>30</v>
      </c>
      <c r="M33" s="4">
        <f>SUMIFS(line_downtime[Column8],line_downtime[Column1],line_productivity7[[#This Row],[Batch]])</f>
        <v>0</v>
      </c>
      <c r="N33" s="4">
        <f>SUMIFS(line_downtime[Column9],line_downtime[Column1],line_productivity7[[#This Row],[Batch]])</f>
        <v>24</v>
      </c>
      <c r="O33" s="4">
        <f>SUMIFS(line_downtime[Column10],line_downtime[Column1],line_productivity7[[#This Row],[Batch]])</f>
        <v>0</v>
      </c>
      <c r="P33" s="4">
        <f>SUMIFS(line_downtime[Column11],line_downtime[Column1],line_productivity7[[#This Row],[Batch]])</f>
        <v>0</v>
      </c>
      <c r="Q33" s="4">
        <f>SUMIFS(line_downtime[Column12],line_downtime[Column1],line_productivity7[[#This Row],[Batch]])</f>
        <v>0</v>
      </c>
      <c r="R33" s="4">
        <f>SUMIFS(line_downtime[Column13],line_downtime[Column1],line_productivity7[[#This Row],[Batch]])</f>
        <v>0</v>
      </c>
      <c r="S33" s="4">
        <f>line_productivity7[[#This Row],[Batch Change]]+line_productivity7[[#This Row],[Product Spill]]+line_productivity7[[#This Row],[Machine Adjustment]]+line_productivity7[[#This Row],[Batch Coding Error]]+line_productivity7[[#This Row],[Calibration Error]]+line_productivity7[[#This Row],[Label Switch]]</f>
        <v>54</v>
      </c>
      <c r="T33" s="4">
        <f>line_productivity7[[#This Row],[Emergency Stop]]+line_productivity7[[#This Row],[Labeling Error]]+line_productivity7[[#This Row],[Inventory Shortage]]+line_productivity7[[#This Row],[Machine Failure]]+line_productivity7[[#This Row],[Conveyor Belt Jam]]+line_productivity7[[#This Row],[Other]]</f>
        <v>0</v>
      </c>
      <c r="U33" s="4">
        <f>SUM(line_productivity7[[#This Row],[Emergency Stop]:[Other]])</f>
        <v>54</v>
      </c>
      <c r="V33" s="7">
        <f>MOD(line_productivity7[[#This Row],[End Time]]-line_productivity7[[#This Row],[Start Time]],1)*1440</f>
        <v>152.00000000000011</v>
      </c>
      <c r="W33" s="4">
        <f>line_productivity7[[#This Row],[PT]]-line_productivity7[[#This Row],[TD]]</f>
        <v>98.000000000000114</v>
      </c>
    </row>
    <row r="34" spans="1:23" x14ac:dyDescent="0.25">
      <c r="A34" s="6">
        <v>45537</v>
      </c>
      <c r="B34" s="7" t="s">
        <v>71</v>
      </c>
      <c r="C34" s="4">
        <v>422145</v>
      </c>
      <c r="D34" s="7" t="s">
        <v>66</v>
      </c>
      <c r="E34" s="8">
        <v>0.61805555555555558</v>
      </c>
      <c r="F34" s="8" t="s">
        <v>157</v>
      </c>
      <c r="G34" s="4">
        <f>SUMIFS(line_downtime[Column2],line_downtime[Column1],line_productivity7[[#This Row],[Batch]])</f>
        <v>0</v>
      </c>
      <c r="H34" s="4">
        <f>SUMIFS(line_downtime[Column3],line_downtime[Column1],line_productivity7[[#This Row],[Batch]])</f>
        <v>0</v>
      </c>
      <c r="I34" s="4">
        <f>SUMIFS(line_downtime[Column4],line_downtime[Column1],line_productivity7[[#This Row],[Batch]])</f>
        <v>22</v>
      </c>
      <c r="J34" s="4">
        <f>SUMIFS(line_downtime[Column5],line_downtime[Column1],line_productivity7[[#This Row],[Batch]])</f>
        <v>0</v>
      </c>
      <c r="K34" s="4">
        <f>SUMIFS(line_downtime[Column6],line_downtime[Column1],line_productivity7[[#This Row],[Batch]])</f>
        <v>0</v>
      </c>
      <c r="L34" s="4">
        <f>SUMIFS(line_downtime[Column7],line_downtime[Column1],line_productivity7[[#This Row],[Batch]])</f>
        <v>0</v>
      </c>
      <c r="M34" s="4">
        <f>SUMIFS(line_downtime[Column8],line_downtime[Column1],line_productivity7[[#This Row],[Batch]])</f>
        <v>0</v>
      </c>
      <c r="N34" s="4">
        <f>SUMIFS(line_downtime[Column9],line_downtime[Column1],line_productivity7[[#This Row],[Batch]])</f>
        <v>0</v>
      </c>
      <c r="O34" s="4">
        <f>SUMIFS(line_downtime[Column10],line_downtime[Column1],line_productivity7[[#This Row],[Batch]])</f>
        <v>0</v>
      </c>
      <c r="P34" s="4">
        <f>SUMIFS(line_downtime[Column11],line_downtime[Column1],line_productivity7[[#This Row],[Batch]])</f>
        <v>0</v>
      </c>
      <c r="Q34" s="4">
        <f>SUMIFS(line_downtime[Column12],line_downtime[Column1],line_productivity7[[#This Row],[Batch]])</f>
        <v>0</v>
      </c>
      <c r="R34" s="4">
        <f>SUMIFS(line_downtime[Column13],line_downtime[Column1],line_productivity7[[#This Row],[Batch]])</f>
        <v>0</v>
      </c>
      <c r="S34" s="4">
        <f>line_productivity7[[#This Row],[Batch Change]]+line_productivity7[[#This Row],[Product Spill]]+line_productivity7[[#This Row],[Machine Adjustment]]+line_productivity7[[#This Row],[Batch Coding Error]]+line_productivity7[[#This Row],[Calibration Error]]+line_productivity7[[#This Row],[Label Switch]]</f>
        <v>0</v>
      </c>
      <c r="T34" s="4">
        <f>line_productivity7[[#This Row],[Emergency Stop]]+line_productivity7[[#This Row],[Labeling Error]]+line_productivity7[[#This Row],[Inventory Shortage]]+line_productivity7[[#This Row],[Machine Failure]]+line_productivity7[[#This Row],[Conveyor Belt Jam]]+line_productivity7[[#This Row],[Other]]</f>
        <v>22</v>
      </c>
      <c r="U34" s="4">
        <f>SUM(line_productivity7[[#This Row],[Emergency Stop]:[Other]])</f>
        <v>22</v>
      </c>
      <c r="V34" s="7">
        <f>MOD(line_productivity7[[#This Row],[End Time]]-line_productivity7[[#This Row],[Start Time]],1)*1440</f>
        <v>119.99999999999989</v>
      </c>
      <c r="W34" s="4">
        <f>line_productivity7[[#This Row],[PT]]-line_productivity7[[#This Row],[TD]]</f>
        <v>97.999999999999886</v>
      </c>
    </row>
    <row r="35" spans="1:23" x14ac:dyDescent="0.25">
      <c r="A35" s="6">
        <v>45537</v>
      </c>
      <c r="B35" s="7" t="s">
        <v>71</v>
      </c>
      <c r="C35" s="4">
        <v>422146</v>
      </c>
      <c r="D35" s="7" t="s">
        <v>66</v>
      </c>
      <c r="E35" s="8">
        <v>0.70138888888888884</v>
      </c>
      <c r="F35" s="8" t="s">
        <v>158</v>
      </c>
      <c r="G35" s="4">
        <f>SUMIFS(line_downtime[Column2],line_downtime[Column1],line_productivity7[[#This Row],[Batch]])</f>
        <v>0</v>
      </c>
      <c r="H35" s="4">
        <f>SUMIFS(line_downtime[Column3],line_downtime[Column1],line_productivity7[[#This Row],[Batch]])</f>
        <v>0</v>
      </c>
      <c r="I35" s="4">
        <f>SUMIFS(line_downtime[Column4],line_downtime[Column1],line_productivity7[[#This Row],[Batch]])</f>
        <v>0</v>
      </c>
      <c r="J35" s="4">
        <f>SUMIFS(line_downtime[Column5],line_downtime[Column1],line_productivity7[[#This Row],[Batch]])</f>
        <v>0</v>
      </c>
      <c r="K35" s="4">
        <f>SUMIFS(line_downtime[Column6],line_downtime[Column1],line_productivity7[[#This Row],[Batch]])</f>
        <v>0</v>
      </c>
      <c r="L35" s="4">
        <f>SUMIFS(line_downtime[Column7],line_downtime[Column1],line_productivity7[[#This Row],[Batch]])</f>
        <v>30</v>
      </c>
      <c r="M35" s="4">
        <f>SUMIFS(line_downtime[Column8],line_downtime[Column1],line_productivity7[[#This Row],[Batch]])</f>
        <v>25</v>
      </c>
      <c r="N35" s="4">
        <f>SUMIFS(line_downtime[Column9],line_downtime[Column1],line_productivity7[[#This Row],[Batch]])</f>
        <v>0</v>
      </c>
      <c r="O35" s="4">
        <f>SUMIFS(line_downtime[Column10],line_downtime[Column1],line_productivity7[[#This Row],[Batch]])</f>
        <v>0</v>
      </c>
      <c r="P35" s="4">
        <f>SUMIFS(line_downtime[Column11],line_downtime[Column1],line_productivity7[[#This Row],[Batch]])</f>
        <v>0</v>
      </c>
      <c r="Q35" s="4">
        <f>SUMIFS(line_downtime[Column12],line_downtime[Column1],line_productivity7[[#This Row],[Batch]])</f>
        <v>0</v>
      </c>
      <c r="R35" s="4">
        <f>SUMIFS(line_downtime[Column13],line_downtime[Column1],line_productivity7[[#This Row],[Batch]])</f>
        <v>7</v>
      </c>
      <c r="S35" s="4">
        <f>line_productivity7[[#This Row],[Batch Change]]+line_productivity7[[#This Row],[Product Spill]]+line_productivity7[[#This Row],[Machine Adjustment]]+line_productivity7[[#This Row],[Batch Coding Error]]+line_productivity7[[#This Row],[Calibration Error]]+line_productivity7[[#This Row],[Label Switch]]</f>
        <v>30</v>
      </c>
      <c r="T35" s="4">
        <f>line_productivity7[[#This Row],[Emergency Stop]]+line_productivity7[[#This Row],[Labeling Error]]+line_productivity7[[#This Row],[Inventory Shortage]]+line_productivity7[[#This Row],[Machine Failure]]+line_productivity7[[#This Row],[Conveyor Belt Jam]]+line_productivity7[[#This Row],[Other]]</f>
        <v>32</v>
      </c>
      <c r="U35" s="4">
        <f>SUM(line_productivity7[[#This Row],[Emergency Stop]:[Other]])</f>
        <v>62</v>
      </c>
      <c r="V35" s="7">
        <f>MOD(line_productivity7[[#This Row],[End Time]]-line_productivity7[[#This Row],[Start Time]],1)*1440</f>
        <v>160.00000000000006</v>
      </c>
      <c r="W35" s="4">
        <f>line_productivity7[[#This Row],[PT]]-line_productivity7[[#This Row],[TD]]</f>
        <v>98.000000000000057</v>
      </c>
    </row>
    <row r="36" spans="1:23" x14ac:dyDescent="0.25">
      <c r="A36" s="6">
        <v>45537</v>
      </c>
      <c r="B36" s="7" t="s">
        <v>71</v>
      </c>
      <c r="C36" s="4">
        <v>422147</v>
      </c>
      <c r="D36" s="7" t="s">
        <v>66</v>
      </c>
      <c r="E36" s="8">
        <v>0.8125</v>
      </c>
      <c r="F36" s="8" t="s">
        <v>159</v>
      </c>
      <c r="G36" s="4">
        <f>SUMIFS(line_downtime[Column2],line_downtime[Column1],line_productivity7[[#This Row],[Batch]])</f>
        <v>0</v>
      </c>
      <c r="H36" s="4">
        <f>SUMIFS(line_downtime[Column3],line_downtime[Column1],line_productivity7[[#This Row],[Batch]])</f>
        <v>0</v>
      </c>
      <c r="I36" s="4">
        <f>SUMIFS(line_downtime[Column4],line_downtime[Column1],line_productivity7[[#This Row],[Batch]])</f>
        <v>0</v>
      </c>
      <c r="J36" s="4">
        <f>SUMIFS(line_downtime[Column5],line_downtime[Column1],line_productivity7[[#This Row],[Batch]])</f>
        <v>17</v>
      </c>
      <c r="K36" s="4">
        <f>SUMIFS(line_downtime[Column6],line_downtime[Column1],line_productivity7[[#This Row],[Batch]])</f>
        <v>0</v>
      </c>
      <c r="L36" s="4">
        <f>SUMIFS(line_downtime[Column7],line_downtime[Column1],line_productivity7[[#This Row],[Batch]])</f>
        <v>60</v>
      </c>
      <c r="M36" s="4">
        <f>SUMIFS(line_downtime[Column8],line_downtime[Column1],line_productivity7[[#This Row],[Batch]])</f>
        <v>30</v>
      </c>
      <c r="N36" s="4">
        <f>SUMIFS(line_downtime[Column9],line_downtime[Column1],line_productivity7[[#This Row],[Batch]])</f>
        <v>0</v>
      </c>
      <c r="O36" s="4">
        <f>SUMIFS(line_downtime[Column10],line_downtime[Column1],line_productivity7[[#This Row],[Batch]])</f>
        <v>0</v>
      </c>
      <c r="P36" s="4">
        <f>SUMIFS(line_downtime[Column11],line_downtime[Column1],line_productivity7[[#This Row],[Batch]])</f>
        <v>0</v>
      </c>
      <c r="Q36" s="4">
        <f>SUMIFS(line_downtime[Column12],line_downtime[Column1],line_productivity7[[#This Row],[Batch]])</f>
        <v>0</v>
      </c>
      <c r="R36" s="4">
        <f>SUMIFS(line_downtime[Column13],line_downtime[Column1],line_productivity7[[#This Row],[Batch]])</f>
        <v>0</v>
      </c>
      <c r="S36" s="4">
        <f>line_productivity7[[#This Row],[Batch Change]]+line_productivity7[[#This Row],[Product Spill]]+line_productivity7[[#This Row],[Machine Adjustment]]+line_productivity7[[#This Row],[Batch Coding Error]]+line_productivity7[[#This Row],[Calibration Error]]+line_productivity7[[#This Row],[Label Switch]]</f>
        <v>60</v>
      </c>
      <c r="T36" s="4">
        <f>line_productivity7[[#This Row],[Emergency Stop]]+line_productivity7[[#This Row],[Labeling Error]]+line_productivity7[[#This Row],[Inventory Shortage]]+line_productivity7[[#This Row],[Machine Failure]]+line_productivity7[[#This Row],[Conveyor Belt Jam]]+line_productivity7[[#This Row],[Other]]</f>
        <v>47</v>
      </c>
      <c r="U36" s="4">
        <f>SUM(line_productivity7[[#This Row],[Emergency Stop]:[Other]])</f>
        <v>107</v>
      </c>
      <c r="V36" s="7">
        <f>MOD(line_productivity7[[#This Row],[End Time]]-line_productivity7[[#This Row],[Start Time]],1)*1440</f>
        <v>205.00000000000006</v>
      </c>
      <c r="W36" s="4">
        <f>line_productivity7[[#This Row],[PT]]-line_productivity7[[#This Row],[TD]]</f>
        <v>98.000000000000057</v>
      </c>
    </row>
    <row r="37" spans="1:23" x14ac:dyDescent="0.25">
      <c r="A37" s="6">
        <v>45538</v>
      </c>
      <c r="B37" s="7" t="s">
        <v>71</v>
      </c>
      <c r="C37" s="4">
        <v>422148</v>
      </c>
      <c r="D37" s="7" t="s">
        <v>64</v>
      </c>
      <c r="E37" s="8">
        <v>0.95486111111111116</v>
      </c>
      <c r="F37" s="8" t="s">
        <v>160</v>
      </c>
      <c r="G37" s="4">
        <f>SUMIFS(line_downtime[Column2],line_downtime[Column1],line_productivity7[[#This Row],[Batch]])</f>
        <v>0</v>
      </c>
      <c r="H37" s="4">
        <f>SUMIFS(line_downtime[Column3],line_downtime[Column1],line_productivity7[[#This Row],[Batch]])</f>
        <v>0</v>
      </c>
      <c r="I37" s="4">
        <f>SUMIFS(line_downtime[Column4],line_downtime[Column1],line_productivity7[[#This Row],[Batch]])</f>
        <v>0</v>
      </c>
      <c r="J37" s="4">
        <f>SUMIFS(line_downtime[Column5],line_downtime[Column1],line_productivity7[[#This Row],[Batch]])</f>
        <v>25</v>
      </c>
      <c r="K37" s="4">
        <f>SUMIFS(line_downtime[Column6],line_downtime[Column1],line_productivity7[[#This Row],[Batch]])</f>
        <v>0</v>
      </c>
      <c r="L37" s="4">
        <f>SUMIFS(line_downtime[Column7],line_downtime[Column1],line_productivity7[[#This Row],[Batch]])</f>
        <v>0</v>
      </c>
      <c r="M37" s="4">
        <f>SUMIFS(line_downtime[Column8],line_downtime[Column1],line_productivity7[[#This Row],[Batch]])</f>
        <v>0</v>
      </c>
      <c r="N37" s="4">
        <f>SUMIFS(line_downtime[Column9],line_downtime[Column1],line_productivity7[[#This Row],[Batch]])</f>
        <v>7</v>
      </c>
      <c r="O37" s="4">
        <f>SUMIFS(line_downtime[Column10],line_downtime[Column1],line_productivity7[[#This Row],[Batch]])</f>
        <v>0</v>
      </c>
      <c r="P37" s="4">
        <f>SUMIFS(line_downtime[Column11],line_downtime[Column1],line_productivity7[[#This Row],[Batch]])</f>
        <v>0</v>
      </c>
      <c r="Q37" s="4">
        <f>SUMIFS(line_downtime[Column12],line_downtime[Column1],line_productivity7[[#This Row],[Batch]])</f>
        <v>0</v>
      </c>
      <c r="R37" s="4">
        <f>SUMIFS(line_downtime[Column13],line_downtime[Column1],line_productivity7[[#This Row],[Batch]])</f>
        <v>0</v>
      </c>
      <c r="S37" s="4">
        <f>line_productivity7[[#This Row],[Batch Change]]+line_productivity7[[#This Row],[Product Spill]]+line_productivity7[[#This Row],[Machine Adjustment]]+line_productivity7[[#This Row],[Batch Coding Error]]+line_productivity7[[#This Row],[Calibration Error]]+line_productivity7[[#This Row],[Label Switch]]</f>
        <v>7</v>
      </c>
      <c r="T37" s="4">
        <f>line_productivity7[[#This Row],[Emergency Stop]]+line_productivity7[[#This Row],[Labeling Error]]+line_productivity7[[#This Row],[Inventory Shortage]]+line_productivity7[[#This Row],[Machine Failure]]+line_productivity7[[#This Row],[Conveyor Belt Jam]]+line_productivity7[[#This Row],[Other]]</f>
        <v>25</v>
      </c>
      <c r="U37" s="4">
        <f>SUM(line_productivity7[[#This Row],[Emergency Stop]:[Other]])</f>
        <v>32</v>
      </c>
      <c r="V37" s="7">
        <f>MOD(line_productivity7[[#This Row],[End Time]]-line_productivity7[[#This Row],[Start Time]],1)*1440</f>
        <v>129.99999999999986</v>
      </c>
      <c r="W37" s="4">
        <f>line_productivity7[[#This Row],[PT]]-line_productivity7[[#This Row],[TD]]</f>
        <v>97.999999999999858</v>
      </c>
    </row>
  </sheetData>
  <phoneticPr fontId="1" type="noConversion"/>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86AF-DDBD-468C-961C-38006AF999E5}">
  <dimension ref="A1:F32"/>
  <sheetViews>
    <sheetView workbookViewId="0">
      <selection activeCell="E1" sqref="E1"/>
    </sheetView>
  </sheetViews>
  <sheetFormatPr defaultRowHeight="15" x14ac:dyDescent="0.25"/>
  <cols>
    <col min="1" max="1" width="9.7109375" bestFit="1" customWidth="1"/>
    <col min="2" max="2" width="10.140625" bestFit="1" customWidth="1"/>
    <col min="3" max="3" width="8.140625" bestFit="1" customWidth="1"/>
    <col min="4" max="4" width="11.28515625" bestFit="1" customWidth="1"/>
    <col min="5" max="5" width="12.28515625" bestFit="1" customWidth="1"/>
    <col min="6" max="6" width="18.28515625" bestFit="1" customWidth="1"/>
    <col min="8" max="8" width="15" customWidth="1"/>
    <col min="9" max="9" width="18.140625" customWidth="1"/>
  </cols>
  <sheetData>
    <row r="1" spans="1:6" x14ac:dyDescent="0.25">
      <c r="A1" t="s">
        <v>58</v>
      </c>
      <c r="B1" t="s">
        <v>59</v>
      </c>
      <c r="C1" t="s">
        <v>17</v>
      </c>
      <c r="D1" t="s">
        <v>60</v>
      </c>
      <c r="E1" t="s">
        <v>61</v>
      </c>
      <c r="F1" t="s">
        <v>62</v>
      </c>
    </row>
    <row r="2" spans="1:6" x14ac:dyDescent="0.25">
      <c r="A2" s="2">
        <v>45533</v>
      </c>
      <c r="B2" s="1" t="s">
        <v>63</v>
      </c>
      <c r="C2">
        <v>422111</v>
      </c>
      <c r="D2" s="1" t="s">
        <v>64</v>
      </c>
      <c r="E2" s="3">
        <v>0.49305555555555558</v>
      </c>
      <c r="F2" s="3" t="s">
        <v>130</v>
      </c>
    </row>
    <row r="3" spans="1:6" x14ac:dyDescent="0.25">
      <c r="A3" s="2">
        <v>45533</v>
      </c>
      <c r="B3" s="1" t="s">
        <v>65</v>
      </c>
      <c r="C3">
        <v>422112</v>
      </c>
      <c r="D3" s="1" t="s">
        <v>64</v>
      </c>
      <c r="E3" s="3">
        <v>0.58680555555555558</v>
      </c>
      <c r="F3" s="3" t="s">
        <v>131</v>
      </c>
    </row>
    <row r="4" spans="1:6" x14ac:dyDescent="0.25">
      <c r="A4" s="2">
        <v>45533</v>
      </c>
      <c r="B4" s="1" t="s">
        <v>65</v>
      </c>
      <c r="C4">
        <v>422113</v>
      </c>
      <c r="D4" s="1" t="s">
        <v>64</v>
      </c>
      <c r="E4" s="3">
        <v>0.65625</v>
      </c>
      <c r="F4" s="3" t="s">
        <v>132</v>
      </c>
    </row>
    <row r="5" spans="1:6" x14ac:dyDescent="0.25">
      <c r="A5" s="2">
        <v>45533</v>
      </c>
      <c r="B5" s="1" t="s">
        <v>65</v>
      </c>
      <c r="C5">
        <v>422114</v>
      </c>
      <c r="D5" s="1" t="s">
        <v>64</v>
      </c>
      <c r="E5" s="3">
        <v>0.73263888888888884</v>
      </c>
      <c r="F5" s="3" t="s">
        <v>133</v>
      </c>
    </row>
    <row r="6" spans="1:6" x14ac:dyDescent="0.25">
      <c r="A6" s="2">
        <v>45533</v>
      </c>
      <c r="B6" s="1" t="s">
        <v>65</v>
      </c>
      <c r="C6">
        <v>422115</v>
      </c>
      <c r="D6" s="1" t="s">
        <v>66</v>
      </c>
      <c r="E6" s="3">
        <v>0.80208333333333337</v>
      </c>
      <c r="F6" s="3" t="s">
        <v>134</v>
      </c>
    </row>
    <row r="7" spans="1:6" x14ac:dyDescent="0.25">
      <c r="A7" s="2">
        <v>45533</v>
      </c>
      <c r="B7" s="1" t="s">
        <v>65</v>
      </c>
      <c r="C7">
        <v>422116</v>
      </c>
      <c r="D7" s="1" t="s">
        <v>66</v>
      </c>
      <c r="E7" s="3">
        <v>0.86041666666666672</v>
      </c>
      <c r="F7" s="3" t="s">
        <v>135</v>
      </c>
    </row>
    <row r="8" spans="1:6" x14ac:dyDescent="0.25">
      <c r="A8" s="2">
        <v>45533</v>
      </c>
      <c r="B8" s="1" t="s">
        <v>65</v>
      </c>
      <c r="C8">
        <v>422117</v>
      </c>
      <c r="D8" s="1" t="s">
        <v>66</v>
      </c>
      <c r="E8" s="3">
        <v>0.90208333333333335</v>
      </c>
      <c r="F8" s="3" t="s">
        <v>136</v>
      </c>
    </row>
    <row r="9" spans="1:6" x14ac:dyDescent="0.25">
      <c r="A9" s="2">
        <v>45534</v>
      </c>
      <c r="B9" s="1" t="s">
        <v>67</v>
      </c>
      <c r="C9">
        <v>422118</v>
      </c>
      <c r="D9" s="1" t="s">
        <v>68</v>
      </c>
      <c r="E9" s="3">
        <v>0.1701388888888889</v>
      </c>
      <c r="F9" s="3" t="s">
        <v>137</v>
      </c>
    </row>
    <row r="10" spans="1:6" x14ac:dyDescent="0.25">
      <c r="A10" s="2">
        <v>45534</v>
      </c>
      <c r="B10" s="1" t="s">
        <v>67</v>
      </c>
      <c r="C10">
        <v>422119</v>
      </c>
      <c r="D10" s="1" t="s">
        <v>68</v>
      </c>
      <c r="E10" s="3">
        <v>0.25347222222222221</v>
      </c>
      <c r="F10" s="3" t="s">
        <v>138</v>
      </c>
    </row>
    <row r="11" spans="1:6" x14ac:dyDescent="0.25">
      <c r="A11" s="2">
        <v>45534</v>
      </c>
      <c r="B11" s="1" t="s">
        <v>67</v>
      </c>
      <c r="C11">
        <v>422120</v>
      </c>
      <c r="D11" s="1" t="s">
        <v>68</v>
      </c>
      <c r="E11" s="3">
        <v>0.3125</v>
      </c>
      <c r="F11" s="3" t="s">
        <v>139</v>
      </c>
    </row>
    <row r="12" spans="1:6" x14ac:dyDescent="0.25">
      <c r="A12" s="2">
        <v>45534</v>
      </c>
      <c r="B12" s="1" t="s">
        <v>67</v>
      </c>
      <c r="C12">
        <v>422121</v>
      </c>
      <c r="D12" s="1" t="s">
        <v>69</v>
      </c>
      <c r="E12" s="3">
        <v>0.39027777777777778</v>
      </c>
      <c r="F12" s="3" t="s">
        <v>140</v>
      </c>
    </row>
    <row r="13" spans="1:6" x14ac:dyDescent="0.25">
      <c r="A13" s="2">
        <v>45534</v>
      </c>
      <c r="B13" s="1" t="s">
        <v>67</v>
      </c>
      <c r="C13">
        <v>422122</v>
      </c>
      <c r="D13" s="1" t="s">
        <v>69</v>
      </c>
      <c r="E13" s="3">
        <v>0.44236111111111109</v>
      </c>
      <c r="F13" s="3" t="s">
        <v>141</v>
      </c>
    </row>
    <row r="14" spans="1:6" x14ac:dyDescent="0.25">
      <c r="A14" s="2">
        <v>45534</v>
      </c>
      <c r="B14" s="1" t="s">
        <v>67</v>
      </c>
      <c r="C14">
        <v>422123</v>
      </c>
      <c r="D14" s="1" t="s">
        <v>69</v>
      </c>
      <c r="E14" s="3">
        <v>0.50138888888888888</v>
      </c>
      <c r="F14" s="3" t="s">
        <v>142</v>
      </c>
    </row>
    <row r="15" spans="1:6" x14ac:dyDescent="0.25">
      <c r="A15" s="2">
        <v>45534</v>
      </c>
      <c r="B15" s="1" t="s">
        <v>67</v>
      </c>
      <c r="C15">
        <v>422124</v>
      </c>
      <c r="D15" s="1" t="s">
        <v>69</v>
      </c>
      <c r="E15" s="3">
        <v>0.59375</v>
      </c>
      <c r="F15" s="3" t="s">
        <v>143</v>
      </c>
    </row>
    <row r="16" spans="1:6" x14ac:dyDescent="0.25">
      <c r="A16" s="2">
        <v>45534</v>
      </c>
      <c r="B16" s="1" t="s">
        <v>67</v>
      </c>
      <c r="C16">
        <v>422125</v>
      </c>
      <c r="D16" s="1" t="s">
        <v>66</v>
      </c>
      <c r="E16" s="3">
        <v>0.66319444444444442</v>
      </c>
      <c r="F16" s="3" t="s">
        <v>144</v>
      </c>
    </row>
    <row r="17" spans="1:6" x14ac:dyDescent="0.25">
      <c r="A17" s="2">
        <v>45534</v>
      </c>
      <c r="B17" s="1" t="s">
        <v>67</v>
      </c>
      <c r="C17">
        <v>422126</v>
      </c>
      <c r="D17" s="1" t="s">
        <v>66</v>
      </c>
      <c r="E17" s="3">
        <v>0.71875</v>
      </c>
      <c r="F17" s="3" t="s">
        <v>145</v>
      </c>
    </row>
    <row r="18" spans="1:6" x14ac:dyDescent="0.25">
      <c r="A18" s="2">
        <v>45534</v>
      </c>
      <c r="B18" s="1" t="s">
        <v>67</v>
      </c>
      <c r="C18">
        <v>422127</v>
      </c>
      <c r="D18" s="1" t="s">
        <v>66</v>
      </c>
      <c r="E18" s="3">
        <v>0.79097222222222219</v>
      </c>
      <c r="F18" s="3" t="s">
        <v>146</v>
      </c>
    </row>
    <row r="19" spans="1:6" x14ac:dyDescent="0.25">
      <c r="A19" s="2">
        <v>45534</v>
      </c>
      <c r="B19" s="1" t="s">
        <v>67</v>
      </c>
      <c r="C19">
        <v>422128</v>
      </c>
      <c r="D19" s="1" t="s">
        <v>66</v>
      </c>
      <c r="E19" s="3">
        <v>0.84861111111111109</v>
      </c>
      <c r="F19" s="3" t="s">
        <v>147</v>
      </c>
    </row>
    <row r="20" spans="1:6" x14ac:dyDescent="0.25">
      <c r="A20" s="2">
        <v>45534</v>
      </c>
      <c r="B20" s="1" t="s">
        <v>67</v>
      </c>
      <c r="C20">
        <v>422129</v>
      </c>
      <c r="D20" s="1" t="s">
        <v>66</v>
      </c>
      <c r="E20" s="3">
        <v>0.92638888888888893</v>
      </c>
      <c r="F20" s="3" t="s">
        <v>148</v>
      </c>
    </row>
    <row r="21" spans="1:6" x14ac:dyDescent="0.25">
      <c r="A21" s="2">
        <v>45535</v>
      </c>
      <c r="B21" s="1" t="s">
        <v>67</v>
      </c>
      <c r="C21">
        <v>422130</v>
      </c>
      <c r="D21" s="1" t="s">
        <v>68</v>
      </c>
      <c r="E21" s="3">
        <v>0.32291666666666669</v>
      </c>
      <c r="F21" s="3" t="s">
        <v>149</v>
      </c>
    </row>
    <row r="22" spans="1:6" x14ac:dyDescent="0.25">
      <c r="A22" s="2">
        <v>45535</v>
      </c>
      <c r="B22" s="1" t="s">
        <v>67</v>
      </c>
      <c r="C22">
        <v>422131</v>
      </c>
      <c r="D22" s="1" t="s">
        <v>68</v>
      </c>
      <c r="E22" s="3">
        <v>0.37847222222222221</v>
      </c>
      <c r="F22" s="3" t="s">
        <v>150</v>
      </c>
    </row>
    <row r="23" spans="1:6" x14ac:dyDescent="0.25">
      <c r="A23" s="2">
        <v>45535</v>
      </c>
      <c r="B23" s="1" t="s">
        <v>67</v>
      </c>
      <c r="C23">
        <v>422132</v>
      </c>
      <c r="D23" s="1" t="s">
        <v>68</v>
      </c>
      <c r="E23" s="3">
        <v>0.44097222222222221</v>
      </c>
      <c r="F23" s="3" t="s">
        <v>151</v>
      </c>
    </row>
    <row r="24" spans="1:6" x14ac:dyDescent="0.25">
      <c r="A24" s="2">
        <v>45535</v>
      </c>
      <c r="B24" s="1" t="s">
        <v>70</v>
      </c>
      <c r="C24">
        <v>422133</v>
      </c>
      <c r="D24" s="1" t="s">
        <v>68</v>
      </c>
      <c r="E24" s="3">
        <v>0.4826388888888889</v>
      </c>
      <c r="F24" s="3" t="s">
        <v>152</v>
      </c>
    </row>
    <row r="25" spans="1:6" x14ac:dyDescent="0.25">
      <c r="A25" s="2">
        <v>45535</v>
      </c>
      <c r="B25" s="1" t="s">
        <v>70</v>
      </c>
      <c r="C25">
        <v>422134</v>
      </c>
      <c r="D25" s="1" t="s">
        <v>64</v>
      </c>
      <c r="E25" s="3">
        <v>0.53819444444444442</v>
      </c>
      <c r="F25" s="3" t="s">
        <v>153</v>
      </c>
    </row>
    <row r="26" spans="1:6" x14ac:dyDescent="0.25">
      <c r="A26" s="2">
        <v>45535</v>
      </c>
      <c r="B26" s="1" t="s">
        <v>70</v>
      </c>
      <c r="C26">
        <v>422135</v>
      </c>
      <c r="D26" s="1" t="s">
        <v>64</v>
      </c>
      <c r="E26" s="3">
        <v>0.61458333333333337</v>
      </c>
      <c r="F26" s="3" t="s">
        <v>154</v>
      </c>
    </row>
    <row r="27" spans="1:6" x14ac:dyDescent="0.25">
      <c r="A27" s="2">
        <v>45535</v>
      </c>
      <c r="B27" s="1" t="s">
        <v>70</v>
      </c>
      <c r="C27">
        <v>422136</v>
      </c>
      <c r="D27" s="1" t="s">
        <v>64</v>
      </c>
      <c r="E27" s="3">
        <v>0.6875</v>
      </c>
      <c r="F27" s="3" t="s">
        <v>155</v>
      </c>
    </row>
    <row r="28" spans="1:6" x14ac:dyDescent="0.25">
      <c r="A28" s="2">
        <v>45537</v>
      </c>
      <c r="B28" s="1" t="s">
        <v>71</v>
      </c>
      <c r="C28">
        <v>422144</v>
      </c>
      <c r="D28" s="1" t="s">
        <v>69</v>
      </c>
      <c r="E28" s="3">
        <v>0.51249999999999996</v>
      </c>
      <c r="F28" s="3" t="s">
        <v>156</v>
      </c>
    </row>
    <row r="29" spans="1:6" x14ac:dyDescent="0.25">
      <c r="A29" s="2">
        <v>45537</v>
      </c>
      <c r="B29" s="1" t="s">
        <v>71</v>
      </c>
      <c r="C29">
        <v>422145</v>
      </c>
      <c r="D29" s="1" t="s">
        <v>66</v>
      </c>
      <c r="E29" s="3">
        <v>0.61805555555555558</v>
      </c>
      <c r="F29" s="3" t="s">
        <v>157</v>
      </c>
    </row>
    <row r="30" spans="1:6" x14ac:dyDescent="0.25">
      <c r="A30" s="2">
        <v>45537</v>
      </c>
      <c r="B30" s="1" t="s">
        <v>71</v>
      </c>
      <c r="C30">
        <v>422146</v>
      </c>
      <c r="D30" s="1" t="s">
        <v>66</v>
      </c>
      <c r="E30" s="3">
        <v>0.70138888888888884</v>
      </c>
      <c r="F30" s="3" t="s">
        <v>158</v>
      </c>
    </row>
    <row r="31" spans="1:6" x14ac:dyDescent="0.25">
      <c r="A31" s="2">
        <v>45537</v>
      </c>
      <c r="B31" s="1" t="s">
        <v>71</v>
      </c>
      <c r="C31">
        <v>422147</v>
      </c>
      <c r="D31" s="1" t="s">
        <v>66</v>
      </c>
      <c r="E31" s="3">
        <v>0.8125</v>
      </c>
      <c r="F31" s="3" t="s">
        <v>159</v>
      </c>
    </row>
    <row r="32" spans="1:6" x14ac:dyDescent="0.25">
      <c r="A32" s="2">
        <v>45538</v>
      </c>
      <c r="B32" s="1" t="s">
        <v>71</v>
      </c>
      <c r="C32">
        <v>422148</v>
      </c>
      <c r="D32" s="1" t="s">
        <v>64</v>
      </c>
      <c r="E32" s="3">
        <v>0.95486111111111116</v>
      </c>
      <c r="F32" s="3" t="s">
        <v>160</v>
      </c>
    </row>
  </sheetData>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1CDED-6902-4B20-B446-135388CB272B}">
  <dimension ref="A1:M41"/>
  <sheetViews>
    <sheetView workbookViewId="0">
      <selection activeCell="M1" sqref="M1"/>
    </sheetView>
  </sheetViews>
  <sheetFormatPr defaultRowHeight="15" x14ac:dyDescent="0.25"/>
  <cols>
    <col min="1" max="9" width="11.140625" bestFit="1" customWidth="1"/>
    <col min="10" max="13" width="12.140625" bestFit="1" customWidth="1"/>
  </cols>
  <sheetData>
    <row r="1" spans="1:13" x14ac:dyDescent="0.25">
      <c r="A1" s="1" t="s">
        <v>161</v>
      </c>
      <c r="B1" s="1" t="s">
        <v>162</v>
      </c>
      <c r="C1" s="1" t="s">
        <v>163</v>
      </c>
      <c r="D1" s="1" t="s">
        <v>164</v>
      </c>
      <c r="E1" s="1" t="s">
        <v>165</v>
      </c>
      <c r="F1" s="1" t="s">
        <v>166</v>
      </c>
      <c r="G1" s="1" t="s">
        <v>167</v>
      </c>
      <c r="H1" s="1" t="s">
        <v>168</v>
      </c>
      <c r="I1" s="1" t="s">
        <v>169</v>
      </c>
      <c r="J1" s="1" t="s">
        <v>170</v>
      </c>
      <c r="K1" s="1" t="s">
        <v>171</v>
      </c>
      <c r="L1" s="1" t="s">
        <v>172</v>
      </c>
      <c r="M1" s="1" t="s">
        <v>173</v>
      </c>
    </row>
    <row r="2" spans="1:13" x14ac:dyDescent="0.25">
      <c r="A2" s="1" t="s">
        <v>17</v>
      </c>
      <c r="B2" s="1" t="s">
        <v>18</v>
      </c>
      <c r="C2">
        <v>2</v>
      </c>
      <c r="D2">
        <v>3</v>
      </c>
      <c r="E2">
        <v>4</v>
      </c>
      <c r="F2">
        <v>5</v>
      </c>
      <c r="G2">
        <v>6</v>
      </c>
      <c r="H2">
        <v>7</v>
      </c>
      <c r="I2">
        <v>8</v>
      </c>
      <c r="J2">
        <v>9</v>
      </c>
      <c r="K2">
        <v>10</v>
      </c>
      <c r="L2">
        <v>11</v>
      </c>
      <c r="M2">
        <v>12</v>
      </c>
    </row>
    <row r="3" spans="1:13" x14ac:dyDescent="0.25">
      <c r="A3" s="1" t="s">
        <v>17</v>
      </c>
      <c r="B3" s="1" t="s">
        <v>174</v>
      </c>
      <c r="C3">
        <v>2</v>
      </c>
      <c r="D3">
        <v>3</v>
      </c>
      <c r="E3">
        <v>4</v>
      </c>
      <c r="F3">
        <v>5</v>
      </c>
      <c r="G3">
        <v>6</v>
      </c>
      <c r="H3">
        <v>7</v>
      </c>
      <c r="I3">
        <v>8</v>
      </c>
      <c r="J3">
        <v>9</v>
      </c>
      <c r="K3">
        <v>10</v>
      </c>
      <c r="L3">
        <v>11</v>
      </c>
      <c r="M3">
        <v>12</v>
      </c>
    </row>
    <row r="4" spans="1:13" x14ac:dyDescent="0.25">
      <c r="A4" s="1" t="s">
        <v>19</v>
      </c>
      <c r="B4" s="1" t="s">
        <v>20</v>
      </c>
      <c r="C4">
        <v>60</v>
      </c>
      <c r="H4">
        <v>15</v>
      </c>
    </row>
    <row r="5" spans="1:13" x14ac:dyDescent="0.25">
      <c r="A5" s="1" t="s">
        <v>21</v>
      </c>
      <c r="B5" s="1" t="s">
        <v>20</v>
      </c>
      <c r="C5">
        <v>20</v>
      </c>
      <c r="I5">
        <v>20</v>
      </c>
    </row>
    <row r="6" spans="1:13" x14ac:dyDescent="0.25">
      <c r="A6" s="1" t="s">
        <v>22</v>
      </c>
      <c r="B6" s="1" t="s">
        <v>20</v>
      </c>
      <c r="C6">
        <v>50</v>
      </c>
    </row>
    <row r="7" spans="1:13" x14ac:dyDescent="0.25">
      <c r="A7" s="1" t="s">
        <v>23</v>
      </c>
      <c r="B7" s="1" t="s">
        <v>20</v>
      </c>
      <c r="E7">
        <v>25</v>
      </c>
      <c r="G7">
        <v>15</v>
      </c>
    </row>
    <row r="8" spans="1:13" x14ac:dyDescent="0.25">
      <c r="A8" s="1" t="s">
        <v>24</v>
      </c>
      <c r="B8" s="1" t="s">
        <v>20</v>
      </c>
      <c r="K8">
        <v>24</v>
      </c>
    </row>
    <row r="9" spans="1:13" x14ac:dyDescent="0.25">
      <c r="A9" s="1" t="s">
        <v>25</v>
      </c>
      <c r="B9" s="1" t="s">
        <v>20</v>
      </c>
    </row>
    <row r="10" spans="1:13" x14ac:dyDescent="0.25">
      <c r="A10" s="1" t="s">
        <v>26</v>
      </c>
      <c r="B10" s="1" t="s">
        <v>20</v>
      </c>
      <c r="C10">
        <v>10</v>
      </c>
      <c r="G10">
        <v>5</v>
      </c>
    </row>
    <row r="11" spans="1:13" x14ac:dyDescent="0.25">
      <c r="A11" s="1" t="s">
        <v>27</v>
      </c>
      <c r="B11" s="1" t="s">
        <v>20</v>
      </c>
      <c r="G11">
        <v>14</v>
      </c>
      <c r="H11">
        <v>16</v>
      </c>
      <c r="L11">
        <v>10</v>
      </c>
      <c r="M11">
        <v>20</v>
      </c>
    </row>
    <row r="12" spans="1:13" x14ac:dyDescent="0.25">
      <c r="A12" s="1" t="s">
        <v>28</v>
      </c>
      <c r="B12" s="1" t="s">
        <v>20</v>
      </c>
      <c r="E12">
        <v>25</v>
      </c>
    </row>
    <row r="13" spans="1:13" x14ac:dyDescent="0.25">
      <c r="A13" s="1" t="s">
        <v>29</v>
      </c>
      <c r="B13" s="1" t="s">
        <v>20</v>
      </c>
      <c r="E13">
        <v>20</v>
      </c>
      <c r="F13">
        <v>15</v>
      </c>
      <c r="J13">
        <v>17</v>
      </c>
    </row>
    <row r="14" spans="1:13" x14ac:dyDescent="0.25">
      <c r="A14" s="1" t="s">
        <v>30</v>
      </c>
      <c r="B14" s="1" t="s">
        <v>20</v>
      </c>
      <c r="H14">
        <v>15</v>
      </c>
    </row>
    <row r="15" spans="1:13" x14ac:dyDescent="0.25">
      <c r="A15" s="1" t="s">
        <v>31</v>
      </c>
      <c r="B15" s="1" t="s">
        <v>20</v>
      </c>
      <c r="H15">
        <v>25</v>
      </c>
    </row>
    <row r="16" spans="1:13" x14ac:dyDescent="0.25">
      <c r="A16" s="1" t="s">
        <v>32</v>
      </c>
      <c r="B16" s="1" t="s">
        <v>20</v>
      </c>
      <c r="E16">
        <v>43</v>
      </c>
      <c r="H16">
        <v>30</v>
      </c>
    </row>
    <row r="17" spans="1:13" x14ac:dyDescent="0.25">
      <c r="A17" s="1" t="s">
        <v>33</v>
      </c>
      <c r="B17" s="1" t="s">
        <v>20</v>
      </c>
      <c r="F17">
        <v>20</v>
      </c>
      <c r="G17">
        <v>20</v>
      </c>
    </row>
    <row r="18" spans="1:13" x14ac:dyDescent="0.25">
      <c r="A18" s="1" t="s">
        <v>34</v>
      </c>
      <c r="B18" s="1" t="s">
        <v>20</v>
      </c>
      <c r="L18">
        <v>10</v>
      </c>
      <c r="M18">
        <v>10</v>
      </c>
    </row>
    <row r="19" spans="1:13" x14ac:dyDescent="0.25">
      <c r="A19" s="1" t="s">
        <v>35</v>
      </c>
      <c r="B19" s="1" t="s">
        <v>20</v>
      </c>
      <c r="I19">
        <v>44</v>
      </c>
    </row>
    <row r="20" spans="1:13" x14ac:dyDescent="0.25">
      <c r="A20" s="1" t="s">
        <v>36</v>
      </c>
      <c r="B20" s="1" t="s">
        <v>20</v>
      </c>
      <c r="G20">
        <v>23</v>
      </c>
    </row>
    <row r="21" spans="1:13" x14ac:dyDescent="0.25">
      <c r="A21" s="1" t="s">
        <v>37</v>
      </c>
      <c r="B21" s="1" t="s">
        <v>20</v>
      </c>
      <c r="F21">
        <v>22</v>
      </c>
      <c r="H21">
        <v>30</v>
      </c>
    </row>
    <row r="22" spans="1:13" x14ac:dyDescent="0.25">
      <c r="A22" s="1" t="s">
        <v>38</v>
      </c>
      <c r="B22" s="1" t="s">
        <v>20</v>
      </c>
      <c r="M22">
        <v>15</v>
      </c>
    </row>
    <row r="23" spans="1:13" x14ac:dyDescent="0.25">
      <c r="A23" s="1" t="s">
        <v>39</v>
      </c>
      <c r="B23" s="1" t="s">
        <v>20</v>
      </c>
      <c r="C23">
        <v>20</v>
      </c>
    </row>
    <row r="24" spans="1:13" x14ac:dyDescent="0.25">
      <c r="A24" s="1" t="s">
        <v>40</v>
      </c>
      <c r="B24" s="1" t="s">
        <v>20</v>
      </c>
      <c r="E24">
        <v>20</v>
      </c>
      <c r="K24">
        <v>10</v>
      </c>
    </row>
    <row r="25" spans="1:13" x14ac:dyDescent="0.25">
      <c r="A25" s="1" t="s">
        <v>41</v>
      </c>
      <c r="B25" s="1" t="s">
        <v>20</v>
      </c>
    </row>
    <row r="26" spans="1:13" x14ac:dyDescent="0.25">
      <c r="A26" s="1" t="s">
        <v>42</v>
      </c>
      <c r="B26" s="1" t="s">
        <v>20</v>
      </c>
      <c r="H26">
        <v>20</v>
      </c>
    </row>
    <row r="27" spans="1:13" x14ac:dyDescent="0.25">
      <c r="A27" s="1" t="s">
        <v>43</v>
      </c>
      <c r="B27" s="1" t="s">
        <v>20</v>
      </c>
      <c r="H27">
        <v>30</v>
      </c>
      <c r="I27">
        <v>20</v>
      </c>
    </row>
    <row r="28" spans="1:13" x14ac:dyDescent="0.25">
      <c r="A28" s="1" t="s">
        <v>44</v>
      </c>
      <c r="B28" s="1" t="s">
        <v>20</v>
      </c>
      <c r="E28">
        <v>30</v>
      </c>
      <c r="M28">
        <v>15</v>
      </c>
    </row>
    <row r="29" spans="1:13" x14ac:dyDescent="0.25">
      <c r="A29" s="1" t="s">
        <v>45</v>
      </c>
      <c r="B29" s="1" t="s">
        <v>20</v>
      </c>
    </row>
    <row r="30" spans="1:13" x14ac:dyDescent="0.25">
      <c r="A30" s="1" t="s">
        <v>46</v>
      </c>
      <c r="B30" s="1" t="s">
        <v>20</v>
      </c>
      <c r="I30">
        <v>30</v>
      </c>
      <c r="K30">
        <v>15</v>
      </c>
    </row>
    <row r="31" spans="1:13" x14ac:dyDescent="0.25">
      <c r="A31" s="1" t="s">
        <v>47</v>
      </c>
      <c r="B31" s="1" t="s">
        <v>20</v>
      </c>
      <c r="D31">
        <v>20</v>
      </c>
    </row>
    <row r="32" spans="1:13" x14ac:dyDescent="0.25">
      <c r="A32" s="1" t="s">
        <v>48</v>
      </c>
      <c r="B32" s="1" t="s">
        <v>20</v>
      </c>
      <c r="E32">
        <v>20</v>
      </c>
      <c r="G32">
        <v>15</v>
      </c>
    </row>
    <row r="33" spans="1:13" x14ac:dyDescent="0.25">
      <c r="A33" s="1" t="s">
        <v>49</v>
      </c>
      <c r="B33" s="1" t="s">
        <v>20</v>
      </c>
      <c r="G33">
        <v>50</v>
      </c>
      <c r="L33">
        <v>13</v>
      </c>
    </row>
    <row r="34" spans="1:13" x14ac:dyDescent="0.25">
      <c r="A34" s="1" t="s">
        <v>50</v>
      </c>
      <c r="B34" s="1" t="s">
        <v>20</v>
      </c>
      <c r="M34">
        <v>7</v>
      </c>
    </row>
    <row r="35" spans="1:13" x14ac:dyDescent="0.25">
      <c r="A35" s="1" t="s">
        <v>51</v>
      </c>
      <c r="B35" s="1" t="s">
        <v>20</v>
      </c>
      <c r="G35">
        <v>30</v>
      </c>
    </row>
    <row r="36" spans="1:13" x14ac:dyDescent="0.25">
      <c r="A36" s="1" t="s">
        <v>52</v>
      </c>
      <c r="B36" s="1" t="s">
        <v>20</v>
      </c>
      <c r="G36">
        <v>40</v>
      </c>
      <c r="H36">
        <v>18</v>
      </c>
    </row>
    <row r="37" spans="1:13" x14ac:dyDescent="0.25">
      <c r="A37" s="1" t="s">
        <v>53</v>
      </c>
      <c r="B37" s="1" t="s">
        <v>20</v>
      </c>
      <c r="G37">
        <v>30</v>
      </c>
      <c r="I37">
        <v>24</v>
      </c>
    </row>
    <row r="38" spans="1:13" x14ac:dyDescent="0.25">
      <c r="A38" s="1" t="s">
        <v>54</v>
      </c>
      <c r="B38" s="1" t="s">
        <v>20</v>
      </c>
      <c r="D38">
        <v>22</v>
      </c>
    </row>
    <row r="39" spans="1:13" x14ac:dyDescent="0.25">
      <c r="A39" s="1" t="s">
        <v>55</v>
      </c>
      <c r="B39" s="1" t="s">
        <v>20</v>
      </c>
      <c r="G39">
        <v>30</v>
      </c>
      <c r="H39">
        <v>25</v>
      </c>
      <c r="M39">
        <v>7</v>
      </c>
    </row>
    <row r="40" spans="1:13" x14ac:dyDescent="0.25">
      <c r="A40" s="1" t="s">
        <v>56</v>
      </c>
      <c r="B40" s="1" t="s">
        <v>20</v>
      </c>
      <c r="E40">
        <v>17</v>
      </c>
      <c r="G40">
        <v>60</v>
      </c>
      <c r="H40">
        <v>30</v>
      </c>
    </row>
    <row r="41" spans="1:13" x14ac:dyDescent="0.25">
      <c r="A41" s="1" t="s">
        <v>57</v>
      </c>
      <c r="B41" s="1" t="s">
        <v>20</v>
      </c>
      <c r="E41">
        <v>25</v>
      </c>
      <c r="I41">
        <v>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9CE8-8E19-4A1D-A879-85A775F71E51}">
  <dimension ref="A1:C13"/>
  <sheetViews>
    <sheetView workbookViewId="0">
      <selection activeCell="B2" sqref="B2:B13"/>
    </sheetView>
  </sheetViews>
  <sheetFormatPr defaultRowHeight="15" x14ac:dyDescent="0.25"/>
  <cols>
    <col min="1" max="1" width="8.7109375" bestFit="1" customWidth="1"/>
    <col min="2" max="2" width="19.42578125" bestFit="1" customWidth="1"/>
    <col min="3" max="3" width="16.140625" bestFit="1" customWidth="1"/>
  </cols>
  <sheetData>
    <row r="1" spans="1:3" x14ac:dyDescent="0.25">
      <c r="A1" t="s">
        <v>0</v>
      </c>
      <c r="B1" t="s">
        <v>1</v>
      </c>
      <c r="C1" t="s">
        <v>2</v>
      </c>
    </row>
    <row r="2" spans="1:3" x14ac:dyDescent="0.25">
      <c r="A2">
        <v>1</v>
      </c>
      <c r="B2" s="1" t="s">
        <v>3</v>
      </c>
      <c r="C2" s="1" t="s">
        <v>4</v>
      </c>
    </row>
    <row r="3" spans="1:3" x14ac:dyDescent="0.25">
      <c r="A3">
        <v>2</v>
      </c>
      <c r="B3" s="1" t="s">
        <v>5</v>
      </c>
      <c r="C3" s="1" t="s">
        <v>6</v>
      </c>
    </row>
    <row r="4" spans="1:3" x14ac:dyDescent="0.25">
      <c r="A4">
        <v>3</v>
      </c>
      <c r="B4" s="1" t="s">
        <v>7</v>
      </c>
      <c r="C4" s="1" t="s">
        <v>4</v>
      </c>
    </row>
    <row r="5" spans="1:3" x14ac:dyDescent="0.25">
      <c r="A5">
        <v>4</v>
      </c>
      <c r="B5" s="1" t="s">
        <v>8</v>
      </c>
      <c r="C5" s="1" t="s">
        <v>4</v>
      </c>
    </row>
    <row r="6" spans="1:3" x14ac:dyDescent="0.25">
      <c r="A6">
        <v>5</v>
      </c>
      <c r="B6" s="1" t="s">
        <v>9</v>
      </c>
      <c r="C6" s="1" t="s">
        <v>6</v>
      </c>
    </row>
    <row r="7" spans="1:3" x14ac:dyDescent="0.25">
      <c r="A7">
        <v>6</v>
      </c>
      <c r="B7" s="1" t="s">
        <v>10</v>
      </c>
      <c r="C7" s="1" t="s">
        <v>6</v>
      </c>
    </row>
    <row r="8" spans="1:3" x14ac:dyDescent="0.25">
      <c r="A8">
        <v>7</v>
      </c>
      <c r="B8" s="1" t="s">
        <v>11</v>
      </c>
      <c r="C8" s="1" t="s">
        <v>4</v>
      </c>
    </row>
    <row r="9" spans="1:3" x14ac:dyDescent="0.25">
      <c r="A9">
        <v>8</v>
      </c>
      <c r="B9" s="1" t="s">
        <v>12</v>
      </c>
      <c r="C9" s="1" t="s">
        <v>6</v>
      </c>
    </row>
    <row r="10" spans="1:3" x14ac:dyDescent="0.25">
      <c r="A10">
        <v>9</v>
      </c>
      <c r="B10" s="1" t="s">
        <v>13</v>
      </c>
      <c r="C10" s="1" t="s">
        <v>4</v>
      </c>
    </row>
    <row r="11" spans="1:3" x14ac:dyDescent="0.25">
      <c r="A11">
        <v>10</v>
      </c>
      <c r="B11" s="1" t="s">
        <v>14</v>
      </c>
      <c r="C11" s="1" t="s">
        <v>6</v>
      </c>
    </row>
    <row r="12" spans="1:3" x14ac:dyDescent="0.25">
      <c r="A12">
        <v>11</v>
      </c>
      <c r="B12" s="1" t="s">
        <v>15</v>
      </c>
      <c r="C12" s="1" t="s">
        <v>6</v>
      </c>
    </row>
    <row r="13" spans="1:3" x14ac:dyDescent="0.25">
      <c r="A13">
        <v>12</v>
      </c>
      <c r="B13" s="1" t="s">
        <v>16</v>
      </c>
      <c r="C13" s="1" t="s">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40101-393C-4CEF-B712-9E7EF919E454}">
  <dimension ref="A1:D6"/>
  <sheetViews>
    <sheetView workbookViewId="0">
      <selection activeCell="D2" sqref="D2"/>
    </sheetView>
  </sheetViews>
  <sheetFormatPr defaultRowHeight="15" x14ac:dyDescent="0.25"/>
  <cols>
    <col min="1" max="1" width="10.140625" bestFit="1" customWidth="1"/>
    <col min="2" max="2" width="11.42578125" bestFit="1" customWidth="1"/>
    <col min="3" max="3" width="6.85546875" bestFit="1" customWidth="1"/>
    <col min="4" max="4" width="16.85546875" bestFit="1" customWidth="1"/>
  </cols>
  <sheetData>
    <row r="1" spans="1:4" x14ac:dyDescent="0.25">
      <c r="A1" t="s">
        <v>59</v>
      </c>
      <c r="B1" t="s">
        <v>85</v>
      </c>
      <c r="C1" t="s">
        <v>87</v>
      </c>
      <c r="D1" t="s">
        <v>89</v>
      </c>
    </row>
    <row r="2" spans="1:4" x14ac:dyDescent="0.25">
      <c r="A2" s="1" t="s">
        <v>63</v>
      </c>
      <c r="B2" s="1" t="s">
        <v>100</v>
      </c>
      <c r="C2" s="1" t="s">
        <v>101</v>
      </c>
      <c r="D2">
        <v>60</v>
      </c>
    </row>
    <row r="3" spans="1:4" x14ac:dyDescent="0.25">
      <c r="A3" s="1" t="s">
        <v>65</v>
      </c>
      <c r="B3" s="1" t="s">
        <v>102</v>
      </c>
      <c r="C3" s="1" t="s">
        <v>101</v>
      </c>
      <c r="D3">
        <v>60</v>
      </c>
    </row>
    <row r="4" spans="1:4" x14ac:dyDescent="0.25">
      <c r="A4" s="1" t="s">
        <v>67</v>
      </c>
      <c r="B4" s="1" t="s">
        <v>103</v>
      </c>
      <c r="C4" s="1" t="s">
        <v>101</v>
      </c>
      <c r="D4">
        <v>60</v>
      </c>
    </row>
    <row r="5" spans="1:4" x14ac:dyDescent="0.25">
      <c r="A5" s="1" t="s">
        <v>70</v>
      </c>
      <c r="B5" s="1" t="s">
        <v>104</v>
      </c>
      <c r="C5" s="1" t="s">
        <v>101</v>
      </c>
      <c r="D5">
        <v>60</v>
      </c>
    </row>
    <row r="6" spans="1:4" x14ac:dyDescent="0.25">
      <c r="A6" s="1" t="s">
        <v>71</v>
      </c>
      <c r="B6" s="1" t="s">
        <v>103</v>
      </c>
      <c r="C6" s="1" t="s">
        <v>105</v>
      </c>
      <c r="D6">
        <v>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A859-96B9-4C27-8C46-004E989AEDC7}">
  <dimension ref="A1:C21"/>
  <sheetViews>
    <sheetView workbookViewId="0">
      <selection activeCell="C25" sqref="C25"/>
    </sheetView>
  </sheetViews>
  <sheetFormatPr defaultRowHeight="15" x14ac:dyDescent="0.25"/>
  <cols>
    <col min="1" max="1" width="16.85546875" bestFit="1" customWidth="1"/>
    <col min="2" max="2" width="16" bestFit="1" customWidth="1"/>
    <col min="3" max="3" width="63" bestFit="1" customWidth="1"/>
  </cols>
  <sheetData>
    <row r="1" spans="1:3" x14ac:dyDescent="0.25">
      <c r="A1" s="1" t="s">
        <v>161</v>
      </c>
      <c r="B1" s="1" t="s">
        <v>162</v>
      </c>
      <c r="C1" s="1" t="s">
        <v>163</v>
      </c>
    </row>
    <row r="2" spans="1:3" x14ac:dyDescent="0.25">
      <c r="A2" s="1" t="s">
        <v>72</v>
      </c>
      <c r="B2" s="1" t="s">
        <v>73</v>
      </c>
      <c r="C2" s="1" t="s">
        <v>1</v>
      </c>
    </row>
    <row r="3" spans="1:3" x14ac:dyDescent="0.25">
      <c r="A3" s="1" t="s">
        <v>74</v>
      </c>
      <c r="B3" s="1" t="s">
        <v>20</v>
      </c>
      <c r="C3" s="1" t="s">
        <v>75</v>
      </c>
    </row>
    <row r="4" spans="1:3" x14ac:dyDescent="0.25">
      <c r="A4" s="1" t="s">
        <v>74</v>
      </c>
      <c r="B4" s="1" t="s">
        <v>58</v>
      </c>
      <c r="C4" s="1" t="s">
        <v>76</v>
      </c>
    </row>
    <row r="5" spans="1:3" x14ac:dyDescent="0.25">
      <c r="A5" s="1" t="s">
        <v>74</v>
      </c>
      <c r="B5" s="1" t="s">
        <v>59</v>
      </c>
      <c r="C5" s="1" t="s">
        <v>77</v>
      </c>
    </row>
    <row r="6" spans="1:3" x14ac:dyDescent="0.25">
      <c r="A6" s="1" t="s">
        <v>74</v>
      </c>
      <c r="B6" s="1" t="s">
        <v>17</v>
      </c>
      <c r="C6" s="1" t="s">
        <v>78</v>
      </c>
    </row>
    <row r="7" spans="1:3" x14ac:dyDescent="0.25">
      <c r="A7" s="1" t="s">
        <v>74</v>
      </c>
      <c r="B7" s="1" t="s">
        <v>60</v>
      </c>
      <c r="C7" s="1" t="s">
        <v>79</v>
      </c>
    </row>
    <row r="8" spans="1:3" x14ac:dyDescent="0.25">
      <c r="A8" s="1" t="s">
        <v>74</v>
      </c>
      <c r="B8" s="1" t="s">
        <v>61</v>
      </c>
      <c r="C8" s="1" t="s">
        <v>80</v>
      </c>
    </row>
    <row r="9" spans="1:3" x14ac:dyDescent="0.25">
      <c r="A9" s="1" t="s">
        <v>74</v>
      </c>
      <c r="B9" s="1" t="s">
        <v>62</v>
      </c>
      <c r="C9" s="1" t="s">
        <v>81</v>
      </c>
    </row>
    <row r="10" spans="1:3" x14ac:dyDescent="0.25">
      <c r="A10" s="1" t="s">
        <v>82</v>
      </c>
      <c r="B10" s="1" t="s">
        <v>20</v>
      </c>
      <c r="C10" s="1" t="s">
        <v>83</v>
      </c>
    </row>
    <row r="11" spans="1:3" x14ac:dyDescent="0.25">
      <c r="A11" s="1" t="s">
        <v>82</v>
      </c>
      <c r="B11" s="1" t="s">
        <v>59</v>
      </c>
      <c r="C11" s="1" t="s">
        <v>84</v>
      </c>
    </row>
    <row r="12" spans="1:3" x14ac:dyDescent="0.25">
      <c r="A12" s="1" t="s">
        <v>82</v>
      </c>
      <c r="B12" s="1" t="s">
        <v>85</v>
      </c>
      <c r="C12" s="1" t="s">
        <v>86</v>
      </c>
    </row>
    <row r="13" spans="1:3" x14ac:dyDescent="0.25">
      <c r="A13" s="1" t="s">
        <v>82</v>
      </c>
      <c r="B13" s="1" t="s">
        <v>87</v>
      </c>
      <c r="C13" s="1" t="s">
        <v>88</v>
      </c>
    </row>
    <row r="14" spans="1:3" x14ac:dyDescent="0.25">
      <c r="A14" s="1" t="s">
        <v>82</v>
      </c>
      <c r="B14" s="1" t="s">
        <v>89</v>
      </c>
      <c r="C14" s="1" t="s">
        <v>90</v>
      </c>
    </row>
    <row r="15" spans="1:3" x14ac:dyDescent="0.25">
      <c r="A15" s="1" t="s">
        <v>91</v>
      </c>
      <c r="B15" s="1" t="s">
        <v>20</v>
      </c>
      <c r="C15" s="1" t="s">
        <v>92</v>
      </c>
    </row>
    <row r="16" spans="1:3" x14ac:dyDescent="0.25">
      <c r="A16" s="1" t="s">
        <v>91</v>
      </c>
      <c r="B16" s="1" t="s">
        <v>17</v>
      </c>
      <c r="C16" s="1" t="s">
        <v>78</v>
      </c>
    </row>
    <row r="17" spans="1:3" x14ac:dyDescent="0.25">
      <c r="A17" s="1" t="s">
        <v>91</v>
      </c>
      <c r="B17" s="1" t="s">
        <v>93</v>
      </c>
      <c r="C17" s="1" t="s">
        <v>94</v>
      </c>
    </row>
    <row r="18" spans="1:3" x14ac:dyDescent="0.25">
      <c r="A18" s="1" t="s">
        <v>95</v>
      </c>
      <c r="B18" s="1" t="s">
        <v>20</v>
      </c>
      <c r="C18" s="1" t="s">
        <v>96</v>
      </c>
    </row>
    <row r="19" spans="1:3" x14ac:dyDescent="0.25">
      <c r="A19" s="1" t="s">
        <v>95</v>
      </c>
      <c r="B19" s="1" t="s">
        <v>0</v>
      </c>
      <c r="C19" s="1" t="s">
        <v>97</v>
      </c>
    </row>
    <row r="20" spans="1:3" x14ac:dyDescent="0.25">
      <c r="A20" s="1" t="s">
        <v>95</v>
      </c>
      <c r="B20" s="1" t="s">
        <v>1</v>
      </c>
      <c r="C20" s="1" t="s">
        <v>98</v>
      </c>
    </row>
    <row r="21" spans="1:3" x14ac:dyDescent="0.25">
      <c r="A21" s="1" t="s">
        <v>95</v>
      </c>
      <c r="B21" s="1" t="s">
        <v>2</v>
      </c>
      <c r="C21" s="1" t="s">
        <v>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7D6069-653F-43BF-A1A6-09637E299D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 Structuring</vt:lpstr>
      <vt:lpstr>Line Productivity</vt:lpstr>
      <vt:lpstr>Line Downtime</vt:lpstr>
      <vt:lpstr>Downtime Factor</vt:lpstr>
      <vt:lpstr>Products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PPC</dc:creator>
  <cp:lastModifiedBy>PPC</cp:lastModifiedBy>
  <dcterms:created xsi:type="dcterms:W3CDTF">2026-03-12T08:12:45Z</dcterms:created>
  <dcterms:modified xsi:type="dcterms:W3CDTF">2026-03-16T08:29:10Z</dcterms:modified>
</cp:coreProperties>
</file>